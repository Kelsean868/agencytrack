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samcal-my.sharepoint.com/personal/kyron_marchan_tatil_co_tt/Documents/Attachments/"/>
    </mc:Choice>
  </mc:AlternateContent>
  <xr:revisionPtr revIDLastSave="98" documentId="8_{643EC090-8B1F-4609-B169-63939D675317}" xr6:coauthVersionLast="47" xr6:coauthVersionMax="47" xr10:uidLastSave="{9FDC3BB0-9E37-460D-ADC2-F72B63F61389}"/>
  <bookViews>
    <workbookView xWindow="2688" yWindow="1572" windowWidth="17280" windowHeight="8880" firstSheet="2" activeTab="3" xr2:uid="{5897890E-1000-4A6D-9D03-74721A69D87A}"/>
  </bookViews>
  <sheets>
    <sheet name="Campaign Tracker" sheetId="6" r:id="rId1"/>
    <sheet name="Opportunity Grid" sheetId="1" r:id="rId2"/>
    <sheet name="Prospect Call List" sheetId="2" r:id="rId3"/>
    <sheet name="Persistency Calculator" sheetId="4" r:id="rId4"/>
    <sheet name="Reinstatment Hit List" sheetId="7" r:id="rId5"/>
  </sheets>
  <definedNames>
    <definedName name="_xlnm.Print_Area" localSheetId="1">'Opportunity Grid'!$A$1:$W$36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H9" i="6"/>
  <c r="L9" i="6"/>
  <c r="M9" i="6"/>
  <c r="L13" i="7"/>
  <c r="R13" i="7"/>
  <c r="L14" i="7"/>
  <c r="R14" i="7"/>
  <c r="L15" i="7"/>
  <c r="R15" i="7"/>
  <c r="L16" i="7"/>
  <c r="R16" i="7"/>
  <c r="L17" i="7"/>
  <c r="R17" i="7"/>
  <c r="L18" i="7"/>
  <c r="R18" i="7"/>
  <c r="L19" i="7"/>
  <c r="R19" i="7"/>
  <c r="L20" i="7"/>
  <c r="R20" i="7"/>
  <c r="L21" i="7"/>
  <c r="R21" i="7"/>
  <c r="L22" i="7"/>
  <c r="R22" i="7"/>
  <c r="L23" i="7"/>
  <c r="R23" i="7"/>
  <c r="L24" i="7"/>
  <c r="R24" i="7"/>
  <c r="L25" i="7"/>
  <c r="R25" i="7"/>
  <c r="L26" i="7"/>
  <c r="R26" i="7"/>
  <c r="L27" i="7"/>
  <c r="R27" i="7"/>
  <c r="L28" i="7"/>
  <c r="R28" i="7"/>
  <c r="L29" i="7"/>
  <c r="R29" i="7"/>
  <c r="L30" i="7"/>
  <c r="R30" i="7"/>
  <c r="L31" i="7"/>
  <c r="R31" i="7"/>
  <c r="L32" i="7"/>
  <c r="R32" i="7"/>
  <c r="L33" i="7"/>
  <c r="R33" i="7"/>
  <c r="L34" i="7"/>
  <c r="R34" i="7"/>
  <c r="L35" i="7"/>
  <c r="R35" i="7"/>
  <c r="L36" i="7"/>
  <c r="R36" i="7"/>
  <c r="L37" i="7"/>
  <c r="R37" i="7"/>
  <c r="L38" i="7"/>
  <c r="R38" i="7"/>
  <c r="L39" i="7"/>
  <c r="R39" i="7"/>
  <c r="L40" i="7"/>
  <c r="R40" i="7"/>
  <c r="L41" i="7"/>
  <c r="R41" i="7"/>
  <c r="L42" i="7"/>
  <c r="R42" i="7"/>
  <c r="L43" i="7"/>
  <c r="R43" i="7"/>
  <c r="L44" i="7"/>
  <c r="R44" i="7"/>
  <c r="L45" i="7"/>
  <c r="R45" i="7"/>
  <c r="L46" i="7"/>
  <c r="R46" i="7"/>
  <c r="L47" i="7"/>
  <c r="R47" i="7"/>
  <c r="L48" i="7"/>
  <c r="R48" i="7"/>
  <c r="L49" i="7"/>
  <c r="R49" i="7"/>
  <c r="L50" i="7"/>
  <c r="R50" i="7"/>
  <c r="L51" i="7"/>
  <c r="R51" i="7"/>
  <c r="L52" i="7"/>
  <c r="R52" i="7"/>
  <c r="L53" i="7"/>
  <c r="R53" i="7"/>
  <c r="L54" i="7"/>
  <c r="R54" i="7"/>
  <c r="L55" i="7"/>
  <c r="R55" i="7"/>
  <c r="L56" i="7"/>
  <c r="R56" i="7"/>
  <c r="L57" i="7"/>
  <c r="R57" i="7"/>
  <c r="L58" i="7"/>
  <c r="R58" i="7"/>
  <c r="L59" i="7"/>
  <c r="R59" i="7"/>
  <c r="L60" i="7"/>
  <c r="R60" i="7"/>
  <c r="L61" i="7"/>
  <c r="R61" i="7"/>
  <c r="L62" i="7"/>
  <c r="R62" i="7"/>
  <c r="L63" i="7"/>
  <c r="R63" i="7"/>
  <c r="L64" i="7"/>
  <c r="R64" i="7"/>
  <c r="L65" i="7"/>
  <c r="R65" i="7"/>
  <c r="L66" i="7"/>
  <c r="R66" i="7"/>
  <c r="L67" i="7"/>
  <c r="R67" i="7"/>
  <c r="L68" i="7"/>
  <c r="R68" i="7"/>
  <c r="L69" i="7"/>
  <c r="R69" i="7"/>
  <c r="L70" i="7"/>
  <c r="R70" i="7"/>
  <c r="L71" i="7"/>
  <c r="R71" i="7"/>
  <c r="L72" i="7"/>
  <c r="R72" i="7"/>
  <c r="L73" i="7"/>
  <c r="R73" i="7"/>
  <c r="L74" i="7"/>
  <c r="R74" i="7"/>
  <c r="L75" i="7"/>
  <c r="R75" i="7"/>
  <c r="L76" i="7"/>
  <c r="R76" i="7"/>
  <c r="L77" i="7"/>
  <c r="R77" i="7"/>
  <c r="L78" i="7"/>
  <c r="R78" i="7"/>
  <c r="L79" i="7"/>
  <c r="R79" i="7"/>
  <c r="L80" i="7"/>
  <c r="R80" i="7"/>
  <c r="L81" i="7"/>
  <c r="R81" i="7"/>
  <c r="L82" i="7"/>
  <c r="R82" i="7"/>
  <c r="L83" i="7"/>
  <c r="R83" i="7"/>
  <c r="L84" i="7"/>
  <c r="R84" i="7"/>
  <c r="L85" i="7"/>
  <c r="R85" i="7"/>
  <c r="L86" i="7"/>
  <c r="R86" i="7"/>
  <c r="L87" i="7"/>
  <c r="R87" i="7"/>
  <c r="L88" i="7"/>
  <c r="R88" i="7"/>
  <c r="L89" i="7"/>
  <c r="R89" i="7"/>
  <c r="L90" i="7"/>
  <c r="R90" i="7"/>
  <c r="L91" i="7"/>
  <c r="R91" i="7"/>
  <c r="L92" i="7"/>
  <c r="R92" i="7"/>
  <c r="L93" i="7"/>
  <c r="R93" i="7"/>
  <c r="L94" i="7"/>
  <c r="R94" i="7"/>
  <c r="L95" i="7"/>
  <c r="R95" i="7"/>
  <c r="L96" i="7"/>
  <c r="R96" i="7"/>
  <c r="L97" i="7"/>
  <c r="R97" i="7"/>
  <c r="L98" i="7"/>
  <c r="R98" i="7"/>
  <c r="L99" i="7"/>
  <c r="R99" i="7"/>
  <c r="L100" i="7"/>
  <c r="R100" i="7"/>
  <c r="L101" i="7"/>
  <c r="R101" i="7"/>
  <c r="L102" i="7"/>
  <c r="R102" i="7"/>
  <c r="L103" i="7"/>
  <c r="R103" i="7"/>
  <c r="L104" i="7"/>
  <c r="R104" i="7"/>
  <c r="L105" i="7"/>
  <c r="R105" i="7"/>
  <c r="L106" i="7"/>
  <c r="R106" i="7"/>
  <c r="L107" i="7"/>
  <c r="R107" i="7"/>
  <c r="L108" i="7"/>
  <c r="R108" i="7"/>
  <c r="L109" i="7"/>
  <c r="R109" i="7"/>
  <c r="L110" i="7"/>
  <c r="R110" i="7"/>
  <c r="L111" i="7"/>
  <c r="R111" i="7"/>
  <c r="L112" i="7"/>
  <c r="R112" i="7"/>
  <c r="L113" i="7"/>
  <c r="R113" i="7"/>
  <c r="L114" i="7"/>
  <c r="R114" i="7"/>
  <c r="L115" i="7"/>
  <c r="R115" i="7"/>
  <c r="L116" i="7"/>
  <c r="R116" i="7"/>
  <c r="L117" i="7"/>
  <c r="R117" i="7"/>
  <c r="L118" i="7"/>
  <c r="R118" i="7"/>
  <c r="L119" i="7"/>
  <c r="R119" i="7"/>
  <c r="L120" i="7"/>
  <c r="R120" i="7"/>
  <c r="L121" i="7"/>
  <c r="R121" i="7"/>
  <c r="L122" i="7"/>
  <c r="R122" i="7"/>
  <c r="L123" i="7"/>
  <c r="R123" i="7"/>
  <c r="L124" i="7"/>
  <c r="R124" i="7"/>
  <c r="L125" i="7"/>
  <c r="R125" i="7"/>
  <c r="L126" i="7"/>
  <c r="R126" i="7"/>
  <c r="L127" i="7"/>
  <c r="R127" i="7"/>
  <c r="L128" i="7"/>
  <c r="R128" i="7"/>
  <c r="L129" i="7"/>
  <c r="R129" i="7"/>
  <c r="L130" i="7"/>
  <c r="R130" i="7"/>
  <c r="L131" i="7"/>
  <c r="R131" i="7"/>
  <c r="L132" i="7"/>
  <c r="R132" i="7"/>
  <c r="L133" i="7"/>
  <c r="R133" i="7"/>
  <c r="L134" i="7"/>
  <c r="R134" i="7"/>
  <c r="L135" i="7"/>
  <c r="R135" i="7"/>
  <c r="L136" i="7"/>
  <c r="R136" i="7"/>
  <c r="L137" i="7"/>
  <c r="R137" i="7"/>
  <c r="L138" i="7"/>
  <c r="R138" i="7"/>
  <c r="L139" i="7"/>
  <c r="R139" i="7"/>
  <c r="L140" i="7"/>
  <c r="R140" i="7"/>
  <c r="L141" i="7"/>
  <c r="R141" i="7"/>
  <c r="L142" i="7"/>
  <c r="R142" i="7"/>
  <c r="L143" i="7"/>
  <c r="R143" i="7"/>
  <c r="L144" i="7"/>
  <c r="R144" i="7"/>
  <c r="L145" i="7"/>
  <c r="R145" i="7"/>
  <c r="L146" i="7"/>
  <c r="R146" i="7"/>
  <c r="L147" i="7"/>
  <c r="R147" i="7"/>
  <c r="L148" i="7"/>
  <c r="R148" i="7"/>
  <c r="L149" i="7"/>
  <c r="R149" i="7"/>
  <c r="L150" i="7"/>
  <c r="R150" i="7"/>
  <c r="L151" i="7"/>
  <c r="R151" i="7"/>
  <c r="L152" i="7"/>
  <c r="R152" i="7"/>
  <c r="L153" i="7"/>
  <c r="R153" i="7"/>
  <c r="L154" i="7"/>
  <c r="R154" i="7"/>
  <c r="L155" i="7"/>
  <c r="R155" i="7"/>
  <c r="L156" i="7"/>
  <c r="R156" i="7"/>
  <c r="L157" i="7"/>
  <c r="R157" i="7"/>
  <c r="L158" i="7"/>
  <c r="R158" i="7"/>
  <c r="L159" i="7"/>
  <c r="R159" i="7"/>
  <c r="L160" i="7"/>
  <c r="R160" i="7"/>
  <c r="L161" i="7"/>
  <c r="R161" i="7"/>
  <c r="L162" i="7"/>
  <c r="R162" i="7"/>
  <c r="L163" i="7"/>
  <c r="R163" i="7"/>
  <c r="L164" i="7"/>
  <c r="R164" i="7"/>
  <c r="L165" i="7"/>
  <c r="R165" i="7"/>
  <c r="L166" i="7"/>
  <c r="R166" i="7"/>
  <c r="L167" i="7"/>
  <c r="R167" i="7"/>
  <c r="L168" i="7"/>
  <c r="R168" i="7"/>
  <c r="L169" i="7"/>
  <c r="R169" i="7"/>
  <c r="L170" i="7"/>
  <c r="R170" i="7"/>
  <c r="L171" i="7"/>
  <c r="R171" i="7"/>
  <c r="L172" i="7"/>
  <c r="R172" i="7"/>
  <c r="L173" i="7"/>
  <c r="R173" i="7"/>
  <c r="L174" i="7"/>
  <c r="R174" i="7"/>
  <c r="L175" i="7"/>
  <c r="R175" i="7"/>
  <c r="L176" i="7"/>
  <c r="R176" i="7"/>
  <c r="L177" i="7"/>
  <c r="R177" i="7"/>
  <c r="L178" i="7"/>
  <c r="R178" i="7"/>
  <c r="L179" i="7"/>
  <c r="R179" i="7"/>
  <c r="L180" i="7"/>
  <c r="R180" i="7"/>
  <c r="L181" i="7"/>
  <c r="R181" i="7"/>
  <c r="L182" i="7"/>
  <c r="R182" i="7"/>
  <c r="L183" i="7"/>
  <c r="R183" i="7"/>
  <c r="L184" i="7"/>
  <c r="R184" i="7"/>
  <c r="L185" i="7"/>
  <c r="R185" i="7"/>
  <c r="L186" i="7"/>
  <c r="R186" i="7"/>
  <c r="L187" i="7"/>
  <c r="R187" i="7"/>
  <c r="L188" i="7"/>
  <c r="R188" i="7"/>
  <c r="L189" i="7"/>
  <c r="R189" i="7"/>
  <c r="L190" i="7"/>
  <c r="R190" i="7"/>
  <c r="L191" i="7"/>
  <c r="R191" i="7"/>
  <c r="L192" i="7"/>
  <c r="R192" i="7"/>
  <c r="L193" i="7"/>
  <c r="R193" i="7"/>
  <c r="L194" i="7"/>
  <c r="R194" i="7"/>
  <c r="L195" i="7"/>
  <c r="R195" i="7"/>
  <c r="L196" i="7"/>
  <c r="R196" i="7"/>
  <c r="L197" i="7"/>
  <c r="R197" i="7"/>
  <c r="L198" i="7"/>
  <c r="R198" i="7"/>
  <c r="L199" i="7"/>
  <c r="R199" i="7"/>
  <c r="L200" i="7"/>
  <c r="R200" i="7"/>
  <c r="L201" i="7"/>
  <c r="R201" i="7"/>
  <c r="L202" i="7"/>
  <c r="R202" i="7"/>
  <c r="L203" i="7"/>
  <c r="R203" i="7"/>
  <c r="L204" i="7"/>
  <c r="R204" i="7"/>
  <c r="L205" i="7"/>
  <c r="R205" i="7"/>
  <c r="L206" i="7"/>
  <c r="R206" i="7"/>
  <c r="L207" i="7"/>
  <c r="R207" i="7"/>
  <c r="L208" i="7"/>
  <c r="R208" i="7"/>
  <c r="L209" i="7"/>
  <c r="R209" i="7"/>
  <c r="L210" i="7"/>
  <c r="R210" i="7"/>
  <c r="L211" i="7"/>
  <c r="R211" i="7"/>
  <c r="L212" i="7"/>
  <c r="R212" i="7"/>
  <c r="L213" i="7"/>
  <c r="R213" i="7"/>
  <c r="L214" i="7"/>
  <c r="R214" i="7"/>
  <c r="L215" i="7"/>
  <c r="R215" i="7"/>
  <c r="L216" i="7"/>
  <c r="R216" i="7"/>
  <c r="L217" i="7"/>
  <c r="R217" i="7"/>
  <c r="L218" i="7"/>
  <c r="R218" i="7"/>
  <c r="L219" i="7"/>
  <c r="R219" i="7"/>
  <c r="L220" i="7"/>
  <c r="R220" i="7"/>
  <c r="L221" i="7"/>
  <c r="R221" i="7"/>
  <c r="L222" i="7"/>
  <c r="R222" i="7"/>
  <c r="L223" i="7"/>
  <c r="R223" i="7"/>
  <c r="L224" i="7"/>
  <c r="R224" i="7"/>
  <c r="L225" i="7"/>
  <c r="R225" i="7"/>
  <c r="L226" i="7"/>
  <c r="R226" i="7"/>
  <c r="L227" i="7"/>
  <c r="R227" i="7"/>
  <c r="L228" i="7"/>
  <c r="R228" i="7"/>
  <c r="L229" i="7"/>
  <c r="R229" i="7"/>
  <c r="L230" i="7"/>
  <c r="R230" i="7"/>
  <c r="L231" i="7"/>
  <c r="R231" i="7"/>
  <c r="L232" i="7"/>
  <c r="R232" i="7"/>
  <c r="L233" i="7"/>
  <c r="R233" i="7"/>
  <c r="L234" i="7"/>
  <c r="R234" i="7"/>
  <c r="L235" i="7"/>
  <c r="R235" i="7"/>
  <c r="L236" i="7"/>
  <c r="R236" i="7"/>
  <c r="L237" i="7"/>
  <c r="R237" i="7"/>
  <c r="L238" i="7"/>
  <c r="R238" i="7"/>
  <c r="L239" i="7"/>
  <c r="R239" i="7"/>
  <c r="L240" i="7"/>
  <c r="R240" i="7"/>
  <c r="L241" i="7"/>
  <c r="R241" i="7"/>
  <c r="L242" i="7"/>
  <c r="R242" i="7"/>
  <c r="L243" i="7"/>
  <c r="R243" i="7"/>
  <c r="L244" i="7"/>
  <c r="R244" i="7"/>
  <c r="L245" i="7"/>
  <c r="R245" i="7"/>
  <c r="L246" i="7"/>
  <c r="R246" i="7"/>
  <c r="L247" i="7"/>
  <c r="R247" i="7"/>
  <c r="L248" i="7"/>
  <c r="R248" i="7"/>
  <c r="L249" i="7"/>
  <c r="R249" i="7"/>
  <c r="L250" i="7"/>
  <c r="R250" i="7"/>
  <c r="L251" i="7"/>
  <c r="R251" i="7"/>
  <c r="L252" i="7"/>
  <c r="R252" i="7"/>
  <c r="L253" i="7"/>
  <c r="R253" i="7"/>
  <c r="L254" i="7"/>
  <c r="R254" i="7"/>
  <c r="L255" i="7"/>
  <c r="R255" i="7"/>
  <c r="L256" i="7"/>
  <c r="R256" i="7"/>
  <c r="L257" i="7"/>
  <c r="R257" i="7"/>
  <c r="L258" i="7"/>
  <c r="R258" i="7"/>
  <c r="L259" i="7"/>
  <c r="R259" i="7"/>
  <c r="L260" i="7"/>
  <c r="R260" i="7"/>
  <c r="L261" i="7"/>
  <c r="R261" i="7"/>
  <c r="L262" i="7"/>
  <c r="R26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S14" i="7"/>
  <c r="T14" i="7" s="1"/>
  <c r="S15" i="7"/>
  <c r="T15" i="7" s="1"/>
  <c r="S16" i="7"/>
  <c r="T16" i="7" s="1"/>
  <c r="S17" i="7"/>
  <c r="T17" i="7" s="1"/>
  <c r="S18" i="7"/>
  <c r="T18" i="7" s="1"/>
  <c r="S19" i="7"/>
  <c r="T19" i="7" s="1"/>
  <c r="S20" i="7"/>
  <c r="T20" i="7" s="1"/>
  <c r="S21" i="7"/>
  <c r="T21" i="7" s="1"/>
  <c r="S22" i="7"/>
  <c r="T22" i="7" s="1"/>
  <c r="S23" i="7"/>
  <c r="T23" i="7" s="1"/>
  <c r="S24" i="7"/>
  <c r="T24" i="7" s="1"/>
  <c r="S25" i="7"/>
  <c r="T25" i="7" s="1"/>
  <c r="S26" i="7"/>
  <c r="T26" i="7" s="1"/>
  <c r="S27" i="7"/>
  <c r="T27" i="7" s="1"/>
  <c r="S28" i="7"/>
  <c r="T28" i="7" s="1"/>
  <c r="S29" i="7"/>
  <c r="T29" i="7" s="1"/>
  <c r="S30" i="7"/>
  <c r="T30" i="7" s="1"/>
  <c r="S31" i="7"/>
  <c r="T31" i="7" s="1"/>
  <c r="S32" i="7"/>
  <c r="T32" i="7" s="1"/>
  <c r="S33" i="7"/>
  <c r="T33" i="7" s="1"/>
  <c r="S34" i="7"/>
  <c r="S35" i="7"/>
  <c r="T35" i="7" s="1"/>
  <c r="S36" i="7"/>
  <c r="T36" i="7" s="1"/>
  <c r="S37" i="7"/>
  <c r="T37" i="7" s="1"/>
  <c r="S38" i="7"/>
  <c r="T38" i="7" s="1"/>
  <c r="S39" i="7"/>
  <c r="T39" i="7" s="1"/>
  <c r="S40" i="7"/>
  <c r="T40" i="7" s="1"/>
  <c r="S41" i="7"/>
  <c r="T41" i="7" s="1"/>
  <c r="S42" i="7"/>
  <c r="T42" i="7" s="1"/>
  <c r="S43" i="7"/>
  <c r="T43" i="7" s="1"/>
  <c r="S44" i="7"/>
  <c r="T44" i="7" s="1"/>
  <c r="S45" i="7"/>
  <c r="T45" i="7" s="1"/>
  <c r="S46" i="7"/>
  <c r="T46" i="7" s="1"/>
  <c r="S47" i="7"/>
  <c r="T47" i="7" s="1"/>
  <c r="S48" i="7"/>
  <c r="T48" i="7" s="1"/>
  <c r="S49" i="7"/>
  <c r="T49" i="7" s="1"/>
  <c r="S50" i="7"/>
  <c r="T50" i="7" s="1"/>
  <c r="S51" i="7"/>
  <c r="T51" i="7" s="1"/>
  <c r="S52" i="7"/>
  <c r="T52" i="7" s="1"/>
  <c r="S53" i="7"/>
  <c r="T53" i="7" s="1"/>
  <c r="S54" i="7"/>
  <c r="T54" i="7" s="1"/>
  <c r="S55" i="7"/>
  <c r="T55" i="7" s="1"/>
  <c r="S56" i="7"/>
  <c r="T56" i="7" s="1"/>
  <c r="S57" i="7"/>
  <c r="T57" i="7" s="1"/>
  <c r="S58" i="7"/>
  <c r="T58" i="7" s="1"/>
  <c r="S59" i="7"/>
  <c r="T59" i="7" s="1"/>
  <c r="S60" i="7"/>
  <c r="T60" i="7" s="1"/>
  <c r="S61" i="7"/>
  <c r="T61" i="7" s="1"/>
  <c r="S62" i="7"/>
  <c r="T62" i="7" s="1"/>
  <c r="S63" i="7"/>
  <c r="T63" i="7" s="1"/>
  <c r="S64" i="7"/>
  <c r="T64" i="7" s="1"/>
  <c r="S65" i="7"/>
  <c r="T65" i="7" s="1"/>
  <c r="S66" i="7"/>
  <c r="T66" i="7" s="1"/>
  <c r="S67" i="7"/>
  <c r="T67" i="7" s="1"/>
  <c r="S68" i="7"/>
  <c r="T68" i="7" s="1"/>
  <c r="S69" i="7"/>
  <c r="T69" i="7" s="1"/>
  <c r="S70" i="7"/>
  <c r="T70" i="7" s="1"/>
  <c r="S71" i="7"/>
  <c r="T71" i="7" s="1"/>
  <c r="S72" i="7"/>
  <c r="T72" i="7" s="1"/>
  <c r="S73" i="7"/>
  <c r="T73" i="7" s="1"/>
  <c r="S74" i="7"/>
  <c r="T74" i="7" s="1"/>
  <c r="S75" i="7"/>
  <c r="T75" i="7" s="1"/>
  <c r="S76" i="7"/>
  <c r="T76" i="7" s="1"/>
  <c r="S77" i="7"/>
  <c r="T77" i="7" s="1"/>
  <c r="S78" i="7"/>
  <c r="T78" i="7" s="1"/>
  <c r="S79" i="7"/>
  <c r="T79" i="7" s="1"/>
  <c r="S80" i="7"/>
  <c r="T80" i="7" s="1"/>
  <c r="S81" i="7"/>
  <c r="T81" i="7" s="1"/>
  <c r="S82" i="7"/>
  <c r="T82" i="7" s="1"/>
  <c r="S83" i="7"/>
  <c r="T83" i="7" s="1"/>
  <c r="S84" i="7"/>
  <c r="T84" i="7" s="1"/>
  <c r="S85" i="7"/>
  <c r="T85" i="7" s="1"/>
  <c r="S86" i="7"/>
  <c r="T86" i="7" s="1"/>
  <c r="S87" i="7"/>
  <c r="T87" i="7" s="1"/>
  <c r="S88" i="7"/>
  <c r="T88" i="7" s="1"/>
  <c r="S89" i="7"/>
  <c r="T89" i="7" s="1"/>
  <c r="S90" i="7"/>
  <c r="T90" i="7" s="1"/>
  <c r="S91" i="7"/>
  <c r="T91" i="7" s="1"/>
  <c r="S92" i="7"/>
  <c r="T92" i="7" s="1"/>
  <c r="S93" i="7"/>
  <c r="T93" i="7" s="1"/>
  <c r="S94" i="7"/>
  <c r="T94" i="7" s="1"/>
  <c r="S95" i="7"/>
  <c r="T95" i="7" s="1"/>
  <c r="S96" i="7"/>
  <c r="T96" i="7" s="1"/>
  <c r="S97" i="7"/>
  <c r="T97" i="7" s="1"/>
  <c r="S98" i="7"/>
  <c r="T98" i="7" s="1"/>
  <c r="S99" i="7"/>
  <c r="T99" i="7" s="1"/>
  <c r="S100" i="7"/>
  <c r="T100" i="7" s="1"/>
  <c r="S101" i="7"/>
  <c r="T101" i="7" s="1"/>
  <c r="S102" i="7"/>
  <c r="T102" i="7" s="1"/>
  <c r="S103" i="7"/>
  <c r="T103" i="7" s="1"/>
  <c r="S104" i="7"/>
  <c r="T104" i="7" s="1"/>
  <c r="S105" i="7"/>
  <c r="T105" i="7" s="1"/>
  <c r="S106" i="7"/>
  <c r="T106" i="7" s="1"/>
  <c r="S107" i="7"/>
  <c r="T107" i="7" s="1"/>
  <c r="S108" i="7"/>
  <c r="T108" i="7" s="1"/>
  <c r="S109" i="7"/>
  <c r="T109" i="7" s="1"/>
  <c r="S110" i="7"/>
  <c r="T110" i="7" s="1"/>
  <c r="S111" i="7"/>
  <c r="T111" i="7" s="1"/>
  <c r="S112" i="7"/>
  <c r="T112" i="7" s="1"/>
  <c r="S113" i="7"/>
  <c r="T113" i="7" s="1"/>
  <c r="S114" i="7"/>
  <c r="T114" i="7" s="1"/>
  <c r="S115" i="7"/>
  <c r="T115" i="7" s="1"/>
  <c r="S116" i="7"/>
  <c r="T116" i="7" s="1"/>
  <c r="S117" i="7"/>
  <c r="T117" i="7" s="1"/>
  <c r="S118" i="7"/>
  <c r="T118" i="7" s="1"/>
  <c r="S119" i="7"/>
  <c r="T119" i="7" s="1"/>
  <c r="S120" i="7"/>
  <c r="T120" i="7" s="1"/>
  <c r="S121" i="7"/>
  <c r="T121" i="7" s="1"/>
  <c r="S122" i="7"/>
  <c r="T122" i="7" s="1"/>
  <c r="S123" i="7"/>
  <c r="T123" i="7" s="1"/>
  <c r="S124" i="7"/>
  <c r="T124" i="7" s="1"/>
  <c r="S125" i="7"/>
  <c r="T125" i="7" s="1"/>
  <c r="S126" i="7"/>
  <c r="T126" i="7" s="1"/>
  <c r="S127" i="7"/>
  <c r="T127" i="7" s="1"/>
  <c r="S128" i="7"/>
  <c r="T128" i="7" s="1"/>
  <c r="S129" i="7"/>
  <c r="T129" i="7" s="1"/>
  <c r="S130" i="7"/>
  <c r="T130" i="7" s="1"/>
  <c r="S131" i="7"/>
  <c r="T131" i="7" s="1"/>
  <c r="S132" i="7"/>
  <c r="T132" i="7" s="1"/>
  <c r="S133" i="7"/>
  <c r="T133" i="7" s="1"/>
  <c r="S134" i="7"/>
  <c r="T134" i="7" s="1"/>
  <c r="S135" i="7"/>
  <c r="T135" i="7" s="1"/>
  <c r="S136" i="7"/>
  <c r="T136" i="7" s="1"/>
  <c r="S137" i="7"/>
  <c r="T137" i="7" s="1"/>
  <c r="S138" i="7"/>
  <c r="T138" i="7" s="1"/>
  <c r="S139" i="7"/>
  <c r="T139" i="7" s="1"/>
  <c r="S140" i="7"/>
  <c r="T140" i="7" s="1"/>
  <c r="S141" i="7"/>
  <c r="T141" i="7" s="1"/>
  <c r="S142" i="7"/>
  <c r="T142" i="7" s="1"/>
  <c r="S143" i="7"/>
  <c r="T143" i="7" s="1"/>
  <c r="S144" i="7"/>
  <c r="T144" i="7" s="1"/>
  <c r="S145" i="7"/>
  <c r="T145" i="7" s="1"/>
  <c r="S146" i="7"/>
  <c r="T146" i="7" s="1"/>
  <c r="S147" i="7"/>
  <c r="T147" i="7" s="1"/>
  <c r="S148" i="7"/>
  <c r="T148" i="7" s="1"/>
  <c r="S149" i="7"/>
  <c r="T149" i="7" s="1"/>
  <c r="S150" i="7"/>
  <c r="T150" i="7" s="1"/>
  <c r="S151" i="7"/>
  <c r="T151" i="7" s="1"/>
  <c r="S152" i="7"/>
  <c r="T152" i="7" s="1"/>
  <c r="S153" i="7"/>
  <c r="T153" i="7" s="1"/>
  <c r="S154" i="7"/>
  <c r="T154" i="7" s="1"/>
  <c r="S155" i="7"/>
  <c r="T155" i="7" s="1"/>
  <c r="S156" i="7"/>
  <c r="T156" i="7" s="1"/>
  <c r="S157" i="7"/>
  <c r="T157" i="7" s="1"/>
  <c r="S158" i="7"/>
  <c r="T158" i="7" s="1"/>
  <c r="S159" i="7"/>
  <c r="T159" i="7" s="1"/>
  <c r="S160" i="7"/>
  <c r="T160" i="7" s="1"/>
  <c r="S161" i="7"/>
  <c r="T161" i="7" s="1"/>
  <c r="S162" i="7"/>
  <c r="T162" i="7" s="1"/>
  <c r="S163" i="7"/>
  <c r="T163" i="7" s="1"/>
  <c r="S164" i="7"/>
  <c r="T164" i="7" s="1"/>
  <c r="S165" i="7"/>
  <c r="T165" i="7" s="1"/>
  <c r="S166" i="7"/>
  <c r="T166" i="7" s="1"/>
  <c r="S167" i="7"/>
  <c r="T167" i="7" s="1"/>
  <c r="S168" i="7"/>
  <c r="T168" i="7" s="1"/>
  <c r="S169" i="7"/>
  <c r="T169" i="7" s="1"/>
  <c r="S170" i="7"/>
  <c r="T170" i="7" s="1"/>
  <c r="S171" i="7"/>
  <c r="T171" i="7" s="1"/>
  <c r="S172" i="7"/>
  <c r="T172" i="7" s="1"/>
  <c r="S173" i="7"/>
  <c r="T173" i="7" s="1"/>
  <c r="S174" i="7"/>
  <c r="T174" i="7" s="1"/>
  <c r="S175" i="7"/>
  <c r="T175" i="7" s="1"/>
  <c r="S176" i="7"/>
  <c r="T176" i="7" s="1"/>
  <c r="S177" i="7"/>
  <c r="T177" i="7" s="1"/>
  <c r="S178" i="7"/>
  <c r="T178" i="7" s="1"/>
  <c r="S179" i="7"/>
  <c r="T179" i="7" s="1"/>
  <c r="S180" i="7"/>
  <c r="T180" i="7" s="1"/>
  <c r="S181" i="7"/>
  <c r="T181" i="7" s="1"/>
  <c r="S182" i="7"/>
  <c r="T182" i="7" s="1"/>
  <c r="S183" i="7"/>
  <c r="T183" i="7" s="1"/>
  <c r="S184" i="7"/>
  <c r="T184" i="7" s="1"/>
  <c r="S185" i="7"/>
  <c r="T185" i="7" s="1"/>
  <c r="S186" i="7"/>
  <c r="T186" i="7" s="1"/>
  <c r="S187" i="7"/>
  <c r="T187" i="7" s="1"/>
  <c r="S188" i="7"/>
  <c r="T188" i="7" s="1"/>
  <c r="S189" i="7"/>
  <c r="T189" i="7" s="1"/>
  <c r="S190" i="7"/>
  <c r="T190" i="7" s="1"/>
  <c r="S191" i="7"/>
  <c r="T191" i="7" s="1"/>
  <c r="S192" i="7"/>
  <c r="T192" i="7" s="1"/>
  <c r="S193" i="7"/>
  <c r="T193" i="7" s="1"/>
  <c r="S194" i="7"/>
  <c r="T194" i="7" s="1"/>
  <c r="S195" i="7"/>
  <c r="T195" i="7" s="1"/>
  <c r="S196" i="7"/>
  <c r="T196" i="7" s="1"/>
  <c r="S197" i="7"/>
  <c r="T197" i="7" s="1"/>
  <c r="S198" i="7"/>
  <c r="T198" i="7" s="1"/>
  <c r="S199" i="7"/>
  <c r="T199" i="7" s="1"/>
  <c r="S200" i="7"/>
  <c r="T200" i="7" s="1"/>
  <c r="S201" i="7"/>
  <c r="T201" i="7" s="1"/>
  <c r="S202" i="7"/>
  <c r="T202" i="7" s="1"/>
  <c r="S203" i="7"/>
  <c r="T203" i="7" s="1"/>
  <c r="S204" i="7"/>
  <c r="T204" i="7" s="1"/>
  <c r="S205" i="7"/>
  <c r="T205" i="7" s="1"/>
  <c r="S206" i="7"/>
  <c r="T206" i="7" s="1"/>
  <c r="S207" i="7"/>
  <c r="T207" i="7" s="1"/>
  <c r="S208" i="7"/>
  <c r="T208" i="7" s="1"/>
  <c r="S209" i="7"/>
  <c r="T209" i="7" s="1"/>
  <c r="S210" i="7"/>
  <c r="T210" i="7" s="1"/>
  <c r="S211" i="7"/>
  <c r="T211" i="7" s="1"/>
  <c r="S212" i="7"/>
  <c r="T212" i="7" s="1"/>
  <c r="S213" i="7"/>
  <c r="T213" i="7" s="1"/>
  <c r="S214" i="7"/>
  <c r="T214" i="7" s="1"/>
  <c r="S215" i="7"/>
  <c r="T215" i="7" s="1"/>
  <c r="S216" i="7"/>
  <c r="T216" i="7" s="1"/>
  <c r="S217" i="7"/>
  <c r="T217" i="7" s="1"/>
  <c r="S218" i="7"/>
  <c r="T218" i="7" s="1"/>
  <c r="S219" i="7"/>
  <c r="T219" i="7" s="1"/>
  <c r="S220" i="7"/>
  <c r="T220" i="7" s="1"/>
  <c r="S221" i="7"/>
  <c r="T221" i="7" s="1"/>
  <c r="S222" i="7"/>
  <c r="T222" i="7" s="1"/>
  <c r="S223" i="7"/>
  <c r="T223" i="7" s="1"/>
  <c r="S224" i="7"/>
  <c r="T224" i="7" s="1"/>
  <c r="S225" i="7"/>
  <c r="T225" i="7" s="1"/>
  <c r="S226" i="7"/>
  <c r="T226" i="7" s="1"/>
  <c r="S227" i="7"/>
  <c r="T227" i="7" s="1"/>
  <c r="S228" i="7"/>
  <c r="T228" i="7" s="1"/>
  <c r="S229" i="7"/>
  <c r="T229" i="7" s="1"/>
  <c r="S230" i="7"/>
  <c r="T230" i="7" s="1"/>
  <c r="S231" i="7"/>
  <c r="T231" i="7" s="1"/>
  <c r="S232" i="7"/>
  <c r="T232" i="7" s="1"/>
  <c r="S233" i="7"/>
  <c r="T233" i="7" s="1"/>
  <c r="S234" i="7"/>
  <c r="T234" i="7" s="1"/>
  <c r="S235" i="7"/>
  <c r="T235" i="7" s="1"/>
  <c r="S236" i="7"/>
  <c r="T236" i="7" s="1"/>
  <c r="S237" i="7"/>
  <c r="T237" i="7" s="1"/>
  <c r="S238" i="7"/>
  <c r="T238" i="7" s="1"/>
  <c r="S239" i="7"/>
  <c r="T239" i="7" s="1"/>
  <c r="S240" i="7"/>
  <c r="T240" i="7" s="1"/>
  <c r="S241" i="7"/>
  <c r="T241" i="7" s="1"/>
  <c r="S242" i="7"/>
  <c r="T242" i="7" s="1"/>
  <c r="S243" i="7"/>
  <c r="T243" i="7" s="1"/>
  <c r="S244" i="7"/>
  <c r="T244" i="7" s="1"/>
  <c r="S245" i="7"/>
  <c r="T245" i="7" s="1"/>
  <c r="S246" i="7"/>
  <c r="T246" i="7" s="1"/>
  <c r="S247" i="7"/>
  <c r="T247" i="7" s="1"/>
  <c r="S248" i="7"/>
  <c r="T248" i="7" s="1"/>
  <c r="S249" i="7"/>
  <c r="T249" i="7" s="1"/>
  <c r="S250" i="7"/>
  <c r="T250" i="7" s="1"/>
  <c r="S251" i="7"/>
  <c r="T251" i="7" s="1"/>
  <c r="S252" i="7"/>
  <c r="T252" i="7" s="1"/>
  <c r="S253" i="7"/>
  <c r="T253" i="7" s="1"/>
  <c r="S254" i="7"/>
  <c r="T254" i="7" s="1"/>
  <c r="S255" i="7"/>
  <c r="T255" i="7" s="1"/>
  <c r="S256" i="7"/>
  <c r="T256" i="7" s="1"/>
  <c r="S257" i="7"/>
  <c r="T257" i="7" s="1"/>
  <c r="S258" i="7"/>
  <c r="T258" i="7" s="1"/>
  <c r="S259" i="7"/>
  <c r="T259" i="7" s="1"/>
  <c r="S260" i="7"/>
  <c r="T260" i="7" s="1"/>
  <c r="S261" i="7"/>
  <c r="T261" i="7" s="1"/>
  <c r="S262" i="7"/>
  <c r="T262" i="7" s="1"/>
  <c r="U13" i="7"/>
  <c r="S13" i="7"/>
  <c r="T13" i="7" s="1"/>
  <c r="U14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T34" i="7"/>
  <c r="R5" i="4"/>
  <c r="P14" i="4" s="1"/>
  <c r="G25" i="4"/>
  <c r="G24" i="4"/>
  <c r="F11" i="4"/>
  <c r="F14" i="4" s="1"/>
  <c r="F15" i="4" s="1"/>
  <c r="H24" i="4"/>
  <c r="B6" i="6"/>
  <c r="A6" i="6"/>
  <c r="G158" i="6"/>
  <c r="H158" i="6"/>
  <c r="G157" i="6"/>
  <c r="H157" i="6"/>
  <c r="G156" i="6"/>
  <c r="H156" i="6"/>
  <c r="G155" i="6"/>
  <c r="H155" i="6"/>
  <c r="G154" i="6"/>
  <c r="H154" i="6"/>
  <c r="G153" i="6"/>
  <c r="H153" i="6"/>
  <c r="G152" i="6"/>
  <c r="H152" i="6"/>
  <c r="G151" i="6"/>
  <c r="H151" i="6"/>
  <c r="G150" i="6"/>
  <c r="H150" i="6"/>
  <c r="G149" i="6"/>
  <c r="H149" i="6"/>
  <c r="G148" i="6"/>
  <c r="H148" i="6"/>
  <c r="G147" i="6"/>
  <c r="H147" i="6"/>
  <c r="G146" i="6"/>
  <c r="H146" i="6"/>
  <c r="G145" i="6"/>
  <c r="H145" i="6"/>
  <c r="G144" i="6"/>
  <c r="H144" i="6"/>
  <c r="G143" i="6"/>
  <c r="H143" i="6"/>
  <c r="G142" i="6"/>
  <c r="H142" i="6"/>
  <c r="G141" i="6"/>
  <c r="H141" i="6"/>
  <c r="G140" i="6"/>
  <c r="H140" i="6"/>
  <c r="G139" i="6"/>
  <c r="H139" i="6"/>
  <c r="G138" i="6"/>
  <c r="H138" i="6"/>
  <c r="G137" i="6"/>
  <c r="H137" i="6"/>
  <c r="G136" i="6"/>
  <c r="H136" i="6"/>
  <c r="G135" i="6"/>
  <c r="H135" i="6"/>
  <c r="G134" i="6"/>
  <c r="H134" i="6"/>
  <c r="G133" i="6"/>
  <c r="H133" i="6"/>
  <c r="G132" i="6"/>
  <c r="H132" i="6"/>
  <c r="G131" i="6"/>
  <c r="H131" i="6"/>
  <c r="G130" i="6"/>
  <c r="H130" i="6"/>
  <c r="G129" i="6"/>
  <c r="H129" i="6"/>
  <c r="G128" i="6"/>
  <c r="H128" i="6"/>
  <c r="G127" i="6"/>
  <c r="H127" i="6"/>
  <c r="G126" i="6"/>
  <c r="H126" i="6"/>
  <c r="G125" i="6"/>
  <c r="H125" i="6"/>
  <c r="G124" i="6"/>
  <c r="H124" i="6"/>
  <c r="G123" i="6"/>
  <c r="H123" i="6"/>
  <c r="G122" i="6"/>
  <c r="H122" i="6"/>
  <c r="G121" i="6"/>
  <c r="H121" i="6"/>
  <c r="G120" i="6"/>
  <c r="H120" i="6"/>
  <c r="G119" i="6"/>
  <c r="H119" i="6"/>
  <c r="G118" i="6"/>
  <c r="H118" i="6"/>
  <c r="G117" i="6"/>
  <c r="H117" i="6"/>
  <c r="G116" i="6"/>
  <c r="H116" i="6"/>
  <c r="G115" i="6"/>
  <c r="H115" i="6"/>
  <c r="G114" i="6"/>
  <c r="H114" i="6"/>
  <c r="G113" i="6"/>
  <c r="H113" i="6"/>
  <c r="G112" i="6"/>
  <c r="H112" i="6"/>
  <c r="G111" i="6"/>
  <c r="H111" i="6"/>
  <c r="G110" i="6"/>
  <c r="H110" i="6"/>
  <c r="G109" i="6"/>
  <c r="H109" i="6"/>
  <c r="G108" i="6"/>
  <c r="H108" i="6"/>
  <c r="G107" i="6"/>
  <c r="H107" i="6"/>
  <c r="G106" i="6"/>
  <c r="H106" i="6"/>
  <c r="G105" i="6"/>
  <c r="H105" i="6"/>
  <c r="G104" i="6"/>
  <c r="H104" i="6"/>
  <c r="G103" i="6"/>
  <c r="H103" i="6"/>
  <c r="G102" i="6"/>
  <c r="H102" i="6"/>
  <c r="G101" i="6"/>
  <c r="H101" i="6"/>
  <c r="G100" i="6"/>
  <c r="H100" i="6"/>
  <c r="G99" i="6"/>
  <c r="H99" i="6"/>
  <c r="G98" i="6"/>
  <c r="H98" i="6"/>
  <c r="G97" i="6"/>
  <c r="H97" i="6"/>
  <c r="G96" i="6"/>
  <c r="H96" i="6"/>
  <c r="G95" i="6"/>
  <c r="H95" i="6"/>
  <c r="G94" i="6"/>
  <c r="H94" i="6"/>
  <c r="G93" i="6"/>
  <c r="H93" i="6"/>
  <c r="G92" i="6"/>
  <c r="H92" i="6"/>
  <c r="G91" i="6"/>
  <c r="H91" i="6"/>
  <c r="G90" i="6"/>
  <c r="H90" i="6"/>
  <c r="G89" i="6"/>
  <c r="H89" i="6"/>
  <c r="G88" i="6"/>
  <c r="H88" i="6"/>
  <c r="G87" i="6"/>
  <c r="H87" i="6"/>
  <c r="G86" i="6"/>
  <c r="H86" i="6"/>
  <c r="G85" i="6"/>
  <c r="H85" i="6"/>
  <c r="G84" i="6"/>
  <c r="H84" i="6"/>
  <c r="G83" i="6"/>
  <c r="H83" i="6"/>
  <c r="G82" i="6"/>
  <c r="H82" i="6"/>
  <c r="G81" i="6"/>
  <c r="H81" i="6"/>
  <c r="G80" i="6"/>
  <c r="H80" i="6"/>
  <c r="G79" i="6"/>
  <c r="H79" i="6"/>
  <c r="G78" i="6"/>
  <c r="H78" i="6"/>
  <c r="G77" i="6"/>
  <c r="H77" i="6"/>
  <c r="G76" i="6"/>
  <c r="H76" i="6"/>
  <c r="G75" i="6"/>
  <c r="H75" i="6"/>
  <c r="G74" i="6"/>
  <c r="H74" i="6"/>
  <c r="G73" i="6"/>
  <c r="H73" i="6"/>
  <c r="G72" i="6"/>
  <c r="H72" i="6"/>
  <c r="G71" i="6"/>
  <c r="H71" i="6"/>
  <c r="G70" i="6"/>
  <c r="H70" i="6"/>
  <c r="G69" i="6"/>
  <c r="H69" i="6"/>
  <c r="G68" i="6"/>
  <c r="H68" i="6"/>
  <c r="G67" i="6"/>
  <c r="H67" i="6"/>
  <c r="G66" i="6"/>
  <c r="H66" i="6"/>
  <c r="G65" i="6"/>
  <c r="H65" i="6"/>
  <c r="G64" i="6"/>
  <c r="H64" i="6"/>
  <c r="G63" i="6"/>
  <c r="H63" i="6"/>
  <c r="G62" i="6"/>
  <c r="H62" i="6"/>
  <c r="G61" i="6"/>
  <c r="H61" i="6"/>
  <c r="G60" i="6"/>
  <c r="H60" i="6"/>
  <c r="G59" i="6"/>
  <c r="H59" i="6"/>
  <c r="G58" i="6"/>
  <c r="H58" i="6"/>
  <c r="G57" i="6"/>
  <c r="H57" i="6"/>
  <c r="G56" i="6"/>
  <c r="H56" i="6"/>
  <c r="G55" i="6"/>
  <c r="H55" i="6"/>
  <c r="G54" i="6"/>
  <c r="H54" i="6"/>
  <c r="G53" i="6"/>
  <c r="H53" i="6"/>
  <c r="G52" i="6"/>
  <c r="H52" i="6"/>
  <c r="G51" i="6"/>
  <c r="H51" i="6"/>
  <c r="G50" i="6"/>
  <c r="H50" i="6"/>
  <c r="G49" i="6"/>
  <c r="H49" i="6"/>
  <c r="G48" i="6"/>
  <c r="H48" i="6"/>
  <c r="G47" i="6"/>
  <c r="H47" i="6"/>
  <c r="G46" i="6"/>
  <c r="H46" i="6"/>
  <c r="G45" i="6"/>
  <c r="H45" i="6"/>
  <c r="G44" i="6"/>
  <c r="H44" i="6"/>
  <c r="G43" i="6"/>
  <c r="H43" i="6"/>
  <c r="G42" i="6"/>
  <c r="H42" i="6"/>
  <c r="G41" i="6"/>
  <c r="H41" i="6"/>
  <c r="G40" i="6"/>
  <c r="H40" i="6"/>
  <c r="G39" i="6"/>
  <c r="H39" i="6"/>
  <c r="G38" i="6"/>
  <c r="H38" i="6"/>
  <c r="G37" i="6"/>
  <c r="H37" i="6"/>
  <c r="G36" i="6"/>
  <c r="H36" i="6"/>
  <c r="G35" i="6"/>
  <c r="H35" i="6"/>
  <c r="G34" i="6"/>
  <c r="H34" i="6"/>
  <c r="G33" i="6"/>
  <c r="H33" i="6"/>
  <c r="G32" i="6"/>
  <c r="H32" i="6"/>
  <c r="G31" i="6"/>
  <c r="H31" i="6"/>
  <c r="G30" i="6"/>
  <c r="H30" i="6"/>
  <c r="G29" i="6"/>
  <c r="H29" i="6"/>
  <c r="G28" i="6"/>
  <c r="H28" i="6"/>
  <c r="G27" i="6"/>
  <c r="H27" i="6"/>
  <c r="G26" i="6"/>
  <c r="H26" i="6"/>
  <c r="G25" i="6"/>
  <c r="H25" i="6"/>
  <c r="G24" i="6"/>
  <c r="H24" i="6"/>
  <c r="G23" i="6"/>
  <c r="H23" i="6"/>
  <c r="G22" i="6"/>
  <c r="H22" i="6"/>
  <c r="G21" i="6"/>
  <c r="H21" i="6"/>
  <c r="S18" i="6"/>
  <c r="O18" i="6"/>
  <c r="P20" i="6"/>
  <c r="Q20" i="6"/>
  <c r="G20" i="6"/>
  <c r="H20" i="6"/>
  <c r="S17" i="6"/>
  <c r="O17" i="6"/>
  <c r="P19" i="6"/>
  <c r="Q19" i="6"/>
  <c r="G19" i="6"/>
  <c r="H19" i="6"/>
  <c r="R18" i="6"/>
  <c r="P18" i="6"/>
  <c r="Q18" i="6"/>
  <c r="G18" i="6"/>
  <c r="H18" i="6"/>
  <c r="R17" i="6"/>
  <c r="P17" i="6"/>
  <c r="Q17" i="6"/>
  <c r="G17" i="6"/>
  <c r="H17" i="6"/>
  <c r="G16" i="6"/>
  <c r="H16" i="6"/>
  <c r="H2" i="6"/>
  <c r="A13" i="2" a="1"/>
  <c r="A13" i="2"/>
  <c r="F21" i="4"/>
  <c r="P16" i="4" l="1"/>
  <c r="Y26" i="4"/>
  <c r="Y27" i="4"/>
  <c r="Y28" i="4"/>
  <c r="Z26" i="4"/>
  <c r="P26" i="4" s="1"/>
  <c r="Z27" i="4"/>
  <c r="P28" i="4" s="1"/>
  <c r="P12" i="4"/>
  <c r="Z28" i="4"/>
  <c r="P30" i="4" s="1"/>
  <c r="R26" i="4" l="1"/>
  <c r="AA26" i="4"/>
  <c r="AA28" i="4"/>
  <c r="R30" i="4"/>
  <c r="R28" i="4"/>
  <c r="AA2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<sst xmlns="http://schemas.openxmlformats.org/spreadsheetml/2006/main" count="307" uniqueCount="238">
  <si>
    <t>API Goal:</t>
  </si>
  <si>
    <t>Apps Goal:</t>
  </si>
  <si>
    <t>Start Date:</t>
  </si>
  <si>
    <t>End Date:</t>
  </si>
  <si>
    <t>Application Count</t>
  </si>
  <si>
    <t xml:space="preserve">Policy Number </t>
  </si>
  <si>
    <t>Owner Name</t>
  </si>
  <si>
    <t>Insured Name</t>
  </si>
  <si>
    <t>Premium Paid</t>
  </si>
  <si>
    <r>
      <t xml:space="preserve">Payment Frequency?
</t>
    </r>
    <r>
      <rPr>
        <sz val="8"/>
        <color theme="0"/>
        <rFont val="Calibri"/>
        <family val="2"/>
        <scheme val="minor"/>
      </rPr>
      <t>(Select Dropdown)</t>
    </r>
  </si>
  <si>
    <t xml:space="preserve"> API (Submitted)</t>
  </si>
  <si>
    <t>Running Total API (Submitted)</t>
  </si>
  <si>
    <t>Date Submitted
dd/mm/yyyy</t>
  </si>
  <si>
    <r>
      <t xml:space="preserve">Applications Settled?
</t>
    </r>
    <r>
      <rPr>
        <sz val="8"/>
        <color theme="0"/>
        <rFont val="Calibri"/>
        <family val="2"/>
        <scheme val="minor"/>
      </rPr>
      <t>(Select Dropdown)</t>
    </r>
  </si>
  <si>
    <t>Total App Count (Settled)</t>
  </si>
  <si>
    <t>Total API (Settled)</t>
  </si>
  <si>
    <t>Monthly</t>
  </si>
  <si>
    <t>No</t>
  </si>
  <si>
    <t>Frequency</t>
  </si>
  <si>
    <t>Value</t>
  </si>
  <si>
    <t>Quarterly</t>
  </si>
  <si>
    <t>Semi-Annually</t>
  </si>
  <si>
    <t>Annually</t>
  </si>
  <si>
    <t>Goal</t>
  </si>
  <si>
    <t>Amount Settled</t>
  </si>
  <si>
    <t>Amount Needed</t>
  </si>
  <si>
    <t>Difference</t>
  </si>
  <si>
    <t>Amount Submitted</t>
  </si>
  <si>
    <t>Submitted API%</t>
  </si>
  <si>
    <t>Submitted App%</t>
  </si>
  <si>
    <t>Settled?</t>
  </si>
  <si>
    <t>Yes</t>
  </si>
  <si>
    <t>Owns</t>
  </si>
  <si>
    <t>THE OPPORTUNITY GRID</t>
  </si>
  <si>
    <t>Discussed</t>
  </si>
  <si>
    <t>Not needed</t>
  </si>
  <si>
    <t>Wants Investments</t>
  </si>
  <si>
    <t>Date:</t>
  </si>
  <si>
    <t>ENTER YOUR TOP 25 CLIENTS FRM YOUR PORTFOLIO AND LIST WHAT THEY HAVE</t>
  </si>
  <si>
    <t>dd/mm/yyyy</t>
  </si>
  <si>
    <t>Client Name</t>
  </si>
  <si>
    <t>Contact #</t>
  </si>
  <si>
    <t xml:space="preserve">Term </t>
  </si>
  <si>
    <t>Whole life</t>
  </si>
  <si>
    <t>Endowment</t>
  </si>
  <si>
    <t>Cash Builder</t>
  </si>
  <si>
    <t>Gold Spoon</t>
  </si>
  <si>
    <t>Reg Annuity</t>
  </si>
  <si>
    <t>Unreg Annuity</t>
  </si>
  <si>
    <t xml:space="preserve">     Disability  Income</t>
  </si>
  <si>
    <t>LifeSpan</t>
  </si>
  <si>
    <t xml:space="preserve">    Individual Health</t>
  </si>
  <si>
    <t>Surgical</t>
  </si>
  <si>
    <t xml:space="preserve">    Personal Accident</t>
  </si>
  <si>
    <t>Motor</t>
  </si>
  <si>
    <t>Property</t>
  </si>
  <si>
    <t>Mortgage</t>
  </si>
  <si>
    <t>Investment</t>
  </si>
  <si>
    <t>No need</t>
  </si>
  <si>
    <t>Investments</t>
  </si>
  <si>
    <t>Bonus</t>
  </si>
  <si>
    <t>PROSPECTING CALL LIST</t>
  </si>
  <si>
    <t>KEY:</t>
  </si>
  <si>
    <t>Booked</t>
  </si>
  <si>
    <t>Enter your names of your prospecting methods, the qualifying information you were able to gather, 
and the results of the call</t>
  </si>
  <si>
    <t>Call Back</t>
  </si>
  <si>
    <t>No Answer</t>
  </si>
  <si>
    <t>Not Interested</t>
  </si>
  <si>
    <t>Not Qualified</t>
  </si>
  <si>
    <t>Cannot Contact</t>
  </si>
  <si>
    <t>Call Info &amp; Results</t>
  </si>
  <si>
    <t>Key Information</t>
  </si>
  <si>
    <t>Triggering Event</t>
  </si>
  <si>
    <t>What they have already Or Interested in</t>
  </si>
  <si>
    <t>Call Status</t>
  </si>
  <si>
    <t>Prospect Name</t>
  </si>
  <si>
    <t>Number of Attempts to contact</t>
  </si>
  <si>
    <t>Source type</t>
  </si>
  <si>
    <t>Sourced from /
Referred by</t>
  </si>
  <si>
    <t>Booked Date &amp; Time</t>
  </si>
  <si>
    <t>Current Age</t>
  </si>
  <si>
    <t>Gender</t>
  </si>
  <si>
    <t>Occupation</t>
  </si>
  <si>
    <t>Estimated Monthly Income</t>
  </si>
  <si>
    <t>Maritial Status</t>
  </si>
  <si>
    <t>Spouse works?</t>
  </si>
  <si>
    <t>Is the Decision Maker?</t>
  </si>
  <si>
    <t>Number of Children under the age of 25</t>
  </si>
  <si>
    <t>Takes care of extended family?</t>
  </si>
  <si>
    <t>Recently Married</t>
  </si>
  <si>
    <t>New Baby</t>
  </si>
  <si>
    <t>Recent Death or Illness in family</t>
  </si>
  <si>
    <t>Recent Promotion / Job</t>
  </si>
  <si>
    <t>New Asset Acquired</t>
  </si>
  <si>
    <t>Recently Retired/ Close to Retirement</t>
  </si>
  <si>
    <t>Business Need</t>
  </si>
  <si>
    <t>Life</t>
  </si>
  <si>
    <t>Critical Illness</t>
  </si>
  <si>
    <t>Annuity</t>
  </si>
  <si>
    <t>Income Protection / Personal Accident</t>
  </si>
  <si>
    <t>Education Planning</t>
  </si>
  <si>
    <t>Savings</t>
  </si>
  <si>
    <t>Health / Surgical</t>
  </si>
  <si>
    <t>Auto</t>
  </si>
  <si>
    <t>Business</t>
  </si>
  <si>
    <t>Notes</t>
  </si>
  <si>
    <t>Source Type</t>
  </si>
  <si>
    <t>Yes/No</t>
  </si>
  <si>
    <t>Have already or interested in</t>
  </si>
  <si>
    <t>Number of attempts to contact</t>
  </si>
  <si>
    <t>Interested</t>
  </si>
  <si>
    <t>Male</t>
  </si>
  <si>
    <t>Existing Client</t>
  </si>
  <si>
    <t>Single</t>
  </si>
  <si>
    <t>Own</t>
  </si>
  <si>
    <t>Female</t>
  </si>
  <si>
    <t>Past Client</t>
  </si>
  <si>
    <t>Married</t>
  </si>
  <si>
    <t>Referral</t>
  </si>
  <si>
    <t>Commom Law</t>
  </si>
  <si>
    <t>No Need</t>
  </si>
  <si>
    <t>Orphan</t>
  </si>
  <si>
    <t>Separated</t>
  </si>
  <si>
    <t>Natural Market</t>
  </si>
  <si>
    <t>Divorced</t>
  </si>
  <si>
    <t>5 or more</t>
  </si>
  <si>
    <t>Cold Canvassing</t>
  </si>
  <si>
    <t>Widowed</t>
  </si>
  <si>
    <t>Walk-in</t>
  </si>
  <si>
    <t>Head Ofice</t>
  </si>
  <si>
    <t>Seminar / Trade show</t>
  </si>
  <si>
    <t>Letters/Emails</t>
  </si>
  <si>
    <t>News Paper</t>
  </si>
  <si>
    <t>Social Media Ads</t>
  </si>
  <si>
    <t>Other</t>
  </si>
  <si>
    <t>Persistency Calculator</t>
  </si>
  <si>
    <t>STEP 1</t>
  </si>
  <si>
    <t>STEP 2</t>
  </si>
  <si>
    <t>FROM YOUR CURRENT RECORDS</t>
  </si>
  <si>
    <t>Target Persistency:</t>
  </si>
  <si>
    <t>%</t>
  </si>
  <si>
    <t>To be achieved by:</t>
  </si>
  <si>
    <t>Totals</t>
  </si>
  <si>
    <t>A.P.I</t>
  </si>
  <si>
    <t>Good Business that will fall off by target date:</t>
  </si>
  <si>
    <t>t</t>
  </si>
  <si>
    <t>Business Placed:</t>
  </si>
  <si>
    <t xml:space="preserve">a </t>
  </si>
  <si>
    <t>Bad Business that will fall off by target date:</t>
  </si>
  <si>
    <t>s</t>
  </si>
  <si>
    <t>Not Taken Policies:</t>
  </si>
  <si>
    <t>b</t>
  </si>
  <si>
    <t>Gross Settled Business:</t>
  </si>
  <si>
    <t>c</t>
  </si>
  <si>
    <t>Recommendations:</t>
  </si>
  <si>
    <t>Lapses:</t>
  </si>
  <si>
    <t>d</t>
  </si>
  <si>
    <t>New Business Needed:</t>
  </si>
  <si>
    <t>m</t>
  </si>
  <si>
    <t>Reinstatements:</t>
  </si>
  <si>
    <t>e</t>
  </si>
  <si>
    <t>OR</t>
  </si>
  <si>
    <t>n</t>
  </si>
  <si>
    <t>Net Settled Business:</t>
  </si>
  <si>
    <t>f</t>
  </si>
  <si>
    <t>New Reinstatements Needed:</t>
  </si>
  <si>
    <t>o</t>
  </si>
  <si>
    <t>Persistency:</t>
  </si>
  <si>
    <t>q</t>
  </si>
  <si>
    <t>New Orphans Needed:</t>
  </si>
  <si>
    <t>STEP 3</t>
  </si>
  <si>
    <t>Target Persistency</t>
  </si>
  <si>
    <t>Manual Calculation:</t>
  </si>
  <si>
    <t>New Persitency</t>
  </si>
  <si>
    <t>Adjusted 
Targets</t>
  </si>
  <si>
    <t>Shortfall</t>
  </si>
  <si>
    <t>Rec</t>
  </si>
  <si>
    <t>New Business that will be Placed:</t>
  </si>
  <si>
    <t>NB:</t>
  </si>
  <si>
    <t>New Reinstatements completed:</t>
  </si>
  <si>
    <t>Or</t>
  </si>
  <si>
    <t>NR:</t>
  </si>
  <si>
    <t>r</t>
  </si>
  <si>
    <t>New Not Taken Business anticipated:</t>
  </si>
  <si>
    <t>NO:</t>
  </si>
  <si>
    <t>u</t>
  </si>
  <si>
    <t>New Lapses anticipated</t>
  </si>
  <si>
    <t>Plus</t>
  </si>
  <si>
    <t>New Orphans Adopted</t>
  </si>
  <si>
    <t>New Orphan Needed:</t>
  </si>
  <si>
    <t>REINSTATEMENT HIT-LIST</t>
  </si>
  <si>
    <t>Reinstatement Status</t>
  </si>
  <si>
    <t>Policy Status</t>
  </si>
  <si>
    <t>Lapsed API</t>
  </si>
  <si>
    <t>Policy Number</t>
  </si>
  <si>
    <t>Type of Policy</t>
  </si>
  <si>
    <t>Purpose of Policy</t>
  </si>
  <si>
    <t>Issued Date /Redated Date</t>
  </si>
  <si>
    <t>Paid to Date</t>
  </si>
  <si>
    <t>Lapsed Date</t>
  </si>
  <si>
    <t>Why policy Lapsed?</t>
  </si>
  <si>
    <t>Money on Suspense</t>
  </si>
  <si>
    <t>Money on Outstanding Disbursment</t>
  </si>
  <si>
    <t>LPO Deadline Date</t>
  </si>
  <si>
    <t>Date to fall off 12 month Persistency Record</t>
  </si>
  <si>
    <t>Date to fall off 24 month Persistency Record</t>
  </si>
  <si>
    <t>Number of Monthly premiums missing</t>
  </si>
  <si>
    <t>Total Premiums Needed to Reinstate via Direct</t>
  </si>
  <si>
    <t>Total Premiums needed to Reinstate via Redate/LPO</t>
  </si>
  <si>
    <t>Reinstated Date</t>
  </si>
  <si>
    <t>Why Policy Lapsed</t>
  </si>
  <si>
    <t>LPO</t>
  </si>
  <si>
    <t>Wholelife</t>
  </si>
  <si>
    <t>Family Income Protection</t>
  </si>
  <si>
    <t>Premium not pulling from Submitted ACH/BO/SD</t>
  </si>
  <si>
    <t xml:space="preserve"> </t>
  </si>
  <si>
    <t>Outstanding Premium</t>
  </si>
  <si>
    <t>Term</t>
  </si>
  <si>
    <t>Personal Income Protection</t>
  </si>
  <si>
    <t>ACH/BO/SD Not Submitted</t>
  </si>
  <si>
    <t>Lapsed</t>
  </si>
  <si>
    <t>Child Head Start Fund</t>
  </si>
  <si>
    <t>Incorrect Premium being pulled</t>
  </si>
  <si>
    <t>Retirement Savings</t>
  </si>
  <si>
    <t>OTC Payment</t>
  </si>
  <si>
    <t>Mortgage Protection</t>
  </si>
  <si>
    <t>Client cancelled ACH/BO/SD</t>
  </si>
  <si>
    <t>Docs Submitted</t>
  </si>
  <si>
    <t>Life Span</t>
  </si>
  <si>
    <t>Asset Protecion</t>
  </si>
  <si>
    <t>Client not interested in policy</t>
  </si>
  <si>
    <t>Reinstated</t>
  </si>
  <si>
    <t>Rest Assured</t>
  </si>
  <si>
    <t>Premiums being sent to wrong policy#</t>
  </si>
  <si>
    <t>Registered Annuty</t>
  </si>
  <si>
    <t>Registered Public Saver</t>
  </si>
  <si>
    <t>Unreg Public Saver</t>
  </si>
  <si>
    <t>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</si>
</sst>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-&quot;$&quot;* #,##0_-;\-&quot;$&quot;* #,##0_-;_-&quot;$&quot;* &quot;-&quot;??_-;_-@_-"/>
    <numFmt numFmtId="166" formatCode="[$-2C09]\ dd\ mmmm\ yyyy;@"/>
    <numFmt numFmtId="167" formatCode="[$-F800]dddd\,\ mmmm\ dd\,\ yyyy"/>
    <numFmt numFmtId="168" formatCode="[$-409]h:mm\ AM/PM;@"/>
    <numFmt numFmtId="169" formatCode="[$-2C09]\ dd\ mmm\ yyyy;@"/>
    <numFmt numFmtId="170" formatCode="_(&quot;$&quot;* #,##0.00_);_(&quot;$&quot;* \(#,##0.00\);_(&quot;$&quot;* &quot;-&quot;_);_(@_)"/>
  </numFmts>
  <fonts count="5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7" tint="0.7999816888943144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trike/>
      <sz val="11"/>
      <color theme="0" tint="-0.34998626667073579"/>
      <name val="Calibri"/>
      <family val="2"/>
      <scheme val="minor"/>
    </font>
    <font>
      <sz val="11"/>
      <color rgb="FFFFFF00"/>
      <name val="Calibri"/>
      <family val="2"/>
      <scheme val="minor"/>
    </font>
    <font>
      <sz val="2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sz val="48"/>
      <color theme="3" tint="-0.249977111117893"/>
      <name val="Calibri"/>
      <family val="2"/>
      <scheme val="minor"/>
    </font>
    <font>
      <b/>
      <sz val="16"/>
      <color theme="5" tint="0.79998168889431442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sz val="20"/>
      <color theme="3" tint="-0.499984740745262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5" tint="0.79998168889431442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2" tint="-9.9978637043366805E-2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 Light"/>
      <family val="2"/>
      <scheme val="major"/>
    </font>
    <font>
      <b/>
      <sz val="20"/>
      <name val="Calibri Light"/>
      <family val="2"/>
      <scheme val="major"/>
    </font>
    <font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Gray">
        <bgColor theme="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8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4506668294322"/>
      </right>
      <top style="thin">
        <color indexed="64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indexed="64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0"/>
      </right>
      <top style="thin">
        <color indexed="64"/>
      </top>
      <bottom style="thin">
        <color theme="4" tint="0.39994506668294322"/>
      </bottom>
      <diagonal/>
    </border>
    <border>
      <left style="thin">
        <color indexed="64"/>
      </left>
      <right style="thin">
        <color theme="4" tint="0.39994506668294322"/>
      </right>
      <top style="thin">
        <color theme="4" tint="0.39994506668294322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indexed="64"/>
      </bottom>
      <diagonal/>
    </border>
    <border>
      <left style="thin">
        <color theme="4" tint="0.39994506668294322"/>
      </left>
      <right style="thin">
        <color theme="0"/>
      </right>
      <top style="thin">
        <color theme="4" tint="0.3999450666829432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3" tint="-0.499984740745262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theme="0"/>
      </bottom>
      <diagonal/>
    </border>
    <border>
      <left/>
      <right/>
      <top style="thick">
        <color auto="1"/>
      </top>
      <bottom style="thick">
        <color theme="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ck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auto="1"/>
      </top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theme="3" tint="-0.499984740745262"/>
      </left>
      <right/>
      <top style="thick">
        <color auto="1"/>
      </top>
      <bottom/>
      <diagonal/>
    </border>
    <border>
      <left style="thick">
        <color theme="3" tint="-0.499984740745262"/>
      </left>
      <right/>
      <top/>
      <bottom/>
      <diagonal/>
    </border>
    <border>
      <left style="thick">
        <color theme="3" tint="-0.499984740745262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theme="0"/>
      </top>
      <bottom style="thin">
        <color auto="1"/>
      </bottom>
      <diagonal/>
    </border>
    <border>
      <left/>
      <right/>
      <top style="thick">
        <color theme="0"/>
      </top>
      <bottom style="thin">
        <color auto="1"/>
      </bottom>
      <diagonal/>
    </border>
    <border>
      <left/>
      <right style="thin">
        <color auto="1"/>
      </right>
      <top style="thick">
        <color theme="0"/>
      </top>
      <bottom style="thin">
        <color auto="1"/>
      </bottom>
      <diagonal/>
    </border>
    <border>
      <left style="double">
        <color theme="3" tint="-0.499984740745262"/>
      </left>
      <right style="double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  <border>
      <left style="double">
        <color theme="5"/>
      </left>
      <right style="double">
        <color theme="5"/>
      </right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/>
      <bottom style="double">
        <color theme="5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/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28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4" xfId="0" applyBorder="1" applyProtection="1">
      <protection locked="0" hidden="1"/>
    </xf>
    <xf numFmtId="0" fontId="2" fillId="0" borderId="4" xfId="0" applyFont="1" applyBorder="1" applyAlignment="1" applyProtection="1">
      <alignment horizontal="center" vertical="center" wrapText="1"/>
      <protection locked="0" hidden="1"/>
    </xf>
    <xf numFmtId="0" fontId="0" fillId="0" borderId="0" xfId="0" applyAlignment="1">
      <alignment horizontal="center" vertical="center"/>
    </xf>
    <xf numFmtId="0" fontId="12" fillId="7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2" fillId="10" borderId="16" xfId="0" applyFont="1" applyFill="1" applyBorder="1" applyAlignment="1">
      <alignment horizontal="center" vertical="center" wrapText="1"/>
    </xf>
    <xf numFmtId="0" fontId="22" fillId="10" borderId="17" xfId="0" applyFont="1" applyFill="1" applyBorder="1" applyAlignment="1">
      <alignment horizontal="center" vertical="center" wrapText="1"/>
    </xf>
    <xf numFmtId="0" fontId="17" fillId="11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 wrapText="1"/>
    </xf>
    <xf numFmtId="0" fontId="0" fillId="12" borderId="6" xfId="0" applyFill="1" applyBorder="1" applyAlignment="1" applyProtection="1">
      <alignment horizontal="center" vertical="center"/>
      <protection locked="0" hidden="1"/>
    </xf>
    <xf numFmtId="0" fontId="0" fillId="13" borderId="6" xfId="0" applyFill="1" applyBorder="1" applyAlignment="1" applyProtection="1">
      <alignment horizontal="center" vertical="center"/>
      <protection locked="0" hidden="1"/>
    </xf>
    <xf numFmtId="0" fontId="0" fillId="14" borderId="6" xfId="0" applyFill="1" applyBorder="1" applyAlignment="1" applyProtection="1">
      <alignment horizontal="center" vertical="center"/>
      <protection locked="0" hidden="1"/>
    </xf>
    <xf numFmtId="0" fontId="12" fillId="15" borderId="6" xfId="0" applyFont="1" applyFill="1" applyBorder="1" applyAlignment="1" applyProtection="1">
      <alignment horizontal="center" vertical="center"/>
      <protection locked="0" hidden="1"/>
    </xf>
    <xf numFmtId="0" fontId="0" fillId="16" borderId="6" xfId="0" applyFill="1" applyBorder="1" applyAlignment="1" applyProtection="1">
      <alignment horizontal="center" vertical="center"/>
      <protection locked="0" hidden="1"/>
    </xf>
    <xf numFmtId="0" fontId="0" fillId="0" borderId="6" xfId="0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23" fillId="17" borderId="6" xfId="0" applyFont="1" applyFill="1" applyBorder="1" applyProtection="1">
      <protection hidden="1"/>
    </xf>
    <xf numFmtId="0" fontId="26" fillId="3" borderId="6" xfId="0" applyFont="1" applyFill="1" applyBorder="1" applyProtection="1">
      <protection hidden="1"/>
    </xf>
    <xf numFmtId="0" fontId="9" fillId="0" borderId="6" xfId="0" applyFont="1" applyBorder="1" applyProtection="1">
      <protection hidden="1"/>
    </xf>
    <xf numFmtId="0" fontId="24" fillId="18" borderId="18" xfId="0" applyFont="1" applyFill="1" applyBorder="1" applyProtection="1">
      <protection hidden="1"/>
    </xf>
    <xf numFmtId="0" fontId="24" fillId="0" borderId="0" xfId="0" applyFont="1" applyProtection="1"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25" fillId="18" borderId="6" xfId="0" applyFont="1" applyFill="1" applyBorder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4" borderId="5" xfId="0" applyFill="1" applyBorder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5" borderId="5" xfId="0" applyFill="1" applyBorder="1" applyProtection="1">
      <protection hidden="1"/>
    </xf>
    <xf numFmtId="0" fontId="0" fillId="6" borderId="5" xfId="0" applyFill="1" applyBorder="1" applyProtection="1">
      <protection hidden="1"/>
    </xf>
    <xf numFmtId="0" fontId="0" fillId="3" borderId="5" xfId="0" applyFill="1" applyBorder="1" applyProtection="1"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6" fillId="0" borderId="0" xfId="0" applyFont="1" applyAlignment="1" applyProtection="1">
      <alignment horizontal="center" vertical="top"/>
      <protection hidden="1"/>
    </xf>
    <xf numFmtId="0" fontId="6" fillId="0" borderId="0" xfId="0" applyFont="1" applyAlignment="1" applyProtection="1">
      <alignment vertical="top"/>
      <protection hidden="1"/>
    </xf>
    <xf numFmtId="0" fontId="0" fillId="0" borderId="0" xfId="0" applyAlignment="1" applyProtection="1">
      <alignment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textRotation="53" wrapText="1"/>
      <protection hidden="1"/>
    </xf>
    <xf numFmtId="0" fontId="1" fillId="2" borderId="3" xfId="0" applyFont="1" applyFill="1" applyBorder="1" applyAlignment="1" applyProtection="1">
      <alignment horizontal="center" vertical="center" textRotation="53" wrapText="1"/>
      <protection hidden="1"/>
    </xf>
    <xf numFmtId="0" fontId="7" fillId="0" borderId="0" xfId="0" applyFont="1" applyProtection="1">
      <protection hidden="1"/>
    </xf>
    <xf numFmtId="0" fontId="15" fillId="19" borderId="46" xfId="0" applyFont="1" applyFill="1" applyBorder="1" applyAlignment="1" applyProtection="1">
      <alignment vertical="center"/>
      <protection hidden="1"/>
    </xf>
    <xf numFmtId="0" fontId="31" fillId="19" borderId="47" xfId="0" applyFont="1" applyFill="1" applyBorder="1" applyAlignment="1" applyProtection="1">
      <alignment vertical="center"/>
      <protection hidden="1"/>
    </xf>
    <xf numFmtId="0" fontId="15" fillId="19" borderId="47" xfId="0" applyFont="1" applyFill="1" applyBorder="1" applyAlignment="1" applyProtection="1">
      <alignment vertical="center"/>
      <protection hidden="1"/>
    </xf>
    <xf numFmtId="0" fontId="11" fillId="19" borderId="45" xfId="0" applyFont="1" applyFill="1" applyBorder="1" applyAlignment="1" applyProtection="1">
      <alignment horizontal="center" vertical="center"/>
      <protection hidden="1"/>
    </xf>
    <xf numFmtId="0" fontId="41" fillId="21" borderId="43" xfId="0" applyFont="1" applyFill="1" applyBorder="1" applyAlignment="1" applyProtection="1">
      <alignment vertical="center"/>
      <protection hidden="1"/>
    </xf>
    <xf numFmtId="10" fontId="38" fillId="20" borderId="31" xfId="2" applyNumberFormat="1" applyFont="1" applyFill="1" applyBorder="1" applyAlignment="1" applyProtection="1">
      <alignment horizontal="right" vertical="center"/>
      <protection hidden="1"/>
    </xf>
    <xf numFmtId="0" fontId="37" fillId="19" borderId="19" xfId="0" applyFont="1" applyFill="1" applyBorder="1" applyAlignment="1" applyProtection="1">
      <alignment vertical="center"/>
      <protection hidden="1"/>
    </xf>
    <xf numFmtId="1" fontId="33" fillId="20" borderId="6" xfId="0" applyNumberFormat="1" applyFont="1" applyFill="1" applyBorder="1" applyAlignment="1" applyProtection="1">
      <alignment horizontal="center" vertical="center"/>
      <protection hidden="1"/>
    </xf>
    <xf numFmtId="0" fontId="34" fillId="19" borderId="56" xfId="0" applyFont="1" applyFill="1" applyBorder="1" applyAlignment="1" applyProtection="1">
      <alignment vertical="center"/>
      <protection hidden="1"/>
    </xf>
    <xf numFmtId="0" fontId="35" fillId="19" borderId="59" xfId="0" applyFont="1" applyFill="1" applyBorder="1" applyAlignment="1" applyProtection="1">
      <alignment vertical="center"/>
      <protection hidden="1"/>
    </xf>
    <xf numFmtId="164" fontId="0" fillId="0" borderId="29" xfId="1" applyFont="1" applyBorder="1" applyAlignment="1" applyProtection="1">
      <alignment horizontal="left" vertical="center"/>
      <protection locked="0" hidden="1"/>
    </xf>
    <xf numFmtId="164" fontId="0" fillId="0" borderId="29" xfId="1" applyFont="1" applyBorder="1" applyAlignment="1" applyProtection="1">
      <alignment vertical="center"/>
      <protection locked="0" hidden="1"/>
    </xf>
    <xf numFmtId="0" fontId="27" fillId="12" borderId="0" xfId="0" applyFont="1" applyFill="1" applyAlignment="1" applyProtection="1">
      <alignment horizontal="center" vertical="center"/>
      <protection hidden="1"/>
    </xf>
    <xf numFmtId="0" fontId="0" fillId="12" borderId="0" xfId="0" applyFill="1" applyAlignment="1" applyProtection="1">
      <alignment vertical="center"/>
      <protection hidden="1"/>
    </xf>
    <xf numFmtId="0" fontId="0" fillId="12" borderId="0" xfId="0" applyFill="1" applyProtection="1">
      <protection hidden="1"/>
    </xf>
    <xf numFmtId="0" fontId="16" fillId="12" borderId="0" xfId="0" applyFont="1" applyFill="1" applyAlignment="1" applyProtection="1">
      <alignment horizontal="center" vertical="center"/>
      <protection hidden="1"/>
    </xf>
    <xf numFmtId="164" fontId="0" fillId="12" borderId="0" xfId="0" applyNumberFormat="1" applyFill="1" applyAlignment="1" applyProtection="1">
      <alignment vertical="center"/>
      <protection hidden="1"/>
    </xf>
    <xf numFmtId="165" fontId="0" fillId="12" borderId="0" xfId="1" applyNumberFormat="1" applyFont="1" applyFill="1" applyAlignment="1" applyProtection="1">
      <alignment vertical="center"/>
      <protection hidden="1"/>
    </xf>
    <xf numFmtId="0" fontId="29" fillId="12" borderId="0" xfId="0" applyFont="1" applyFill="1" applyAlignment="1" applyProtection="1">
      <alignment vertical="center"/>
      <protection hidden="1"/>
    </xf>
    <xf numFmtId="164" fontId="0" fillId="0" borderId="6" xfId="1" applyFont="1" applyFill="1" applyBorder="1" applyAlignment="1" applyProtection="1">
      <alignment vertical="center"/>
      <protection locked="0" hidden="1"/>
    </xf>
    <xf numFmtId="165" fontId="0" fillId="0" borderId="6" xfId="1" applyNumberFormat="1" applyFont="1" applyFill="1" applyBorder="1" applyAlignment="1" applyProtection="1">
      <alignment vertical="center"/>
      <protection locked="0" hidden="1"/>
    </xf>
    <xf numFmtId="164" fontId="0" fillId="0" borderId="30" xfId="1" applyFont="1" applyFill="1" applyBorder="1" applyAlignment="1" applyProtection="1">
      <alignment vertical="center"/>
      <protection locked="0" hidden="1"/>
    </xf>
    <xf numFmtId="0" fontId="45" fillId="20" borderId="27" xfId="0" applyFont="1" applyFill="1" applyBorder="1" applyAlignment="1" applyProtection="1">
      <alignment vertical="center"/>
      <protection hidden="1"/>
    </xf>
    <xf numFmtId="0" fontId="0" fillId="20" borderId="26" xfId="0" applyFill="1" applyBorder="1" applyAlignment="1" applyProtection="1">
      <alignment vertical="center"/>
      <protection hidden="1"/>
    </xf>
    <xf numFmtId="0" fontId="0" fillId="20" borderId="40" xfId="0" applyFill="1" applyBorder="1" applyAlignment="1" applyProtection="1">
      <alignment horizontal="left" vertical="center"/>
      <protection hidden="1"/>
    </xf>
    <xf numFmtId="0" fontId="0" fillId="20" borderId="24" xfId="0" applyFill="1" applyBorder="1" applyAlignment="1" applyProtection="1">
      <alignment vertical="center"/>
      <protection hidden="1"/>
    </xf>
    <xf numFmtId="0" fontId="0" fillId="7" borderId="41" xfId="0" applyFill="1" applyBorder="1" applyAlignment="1" applyProtection="1">
      <alignment vertical="center"/>
      <protection hidden="1"/>
    </xf>
    <xf numFmtId="0" fontId="0" fillId="7" borderId="20" xfId="0" applyFill="1" applyBorder="1" applyAlignment="1" applyProtection="1">
      <alignment vertical="center"/>
      <protection hidden="1"/>
    </xf>
    <xf numFmtId="0" fontId="0" fillId="7" borderId="43" xfId="0" applyFill="1" applyBorder="1" applyAlignment="1" applyProtection="1">
      <alignment vertical="center"/>
      <protection hidden="1"/>
    </xf>
    <xf numFmtId="0" fontId="0" fillId="7" borderId="50" xfId="0" applyFill="1" applyBorder="1" applyAlignment="1" applyProtection="1">
      <alignment vertical="center"/>
      <protection hidden="1"/>
    </xf>
    <xf numFmtId="0" fontId="0" fillId="7" borderId="7" xfId="0" applyFill="1" applyBorder="1" applyAlignment="1" applyProtection="1">
      <alignment vertical="center"/>
      <protection hidden="1"/>
    </xf>
    <xf numFmtId="0" fontId="0" fillId="7" borderId="6" xfId="0" applyFill="1" applyBorder="1" applyAlignment="1" applyProtection="1">
      <alignment vertical="center"/>
      <protection hidden="1"/>
    </xf>
    <xf numFmtId="0" fontId="0" fillId="7" borderId="42" xfId="0" applyFill="1" applyBorder="1" applyAlignment="1" applyProtection="1">
      <alignment vertical="center"/>
      <protection hidden="1"/>
    </xf>
    <xf numFmtId="0" fontId="0" fillId="7" borderId="30" xfId="0" applyFill="1" applyBorder="1" applyAlignment="1" applyProtection="1">
      <alignment vertical="center"/>
      <protection hidden="1"/>
    </xf>
    <xf numFmtId="0" fontId="16" fillId="22" borderId="0" xfId="0" applyFont="1" applyFill="1" applyAlignment="1" applyProtection="1">
      <alignment vertical="center"/>
      <protection hidden="1"/>
    </xf>
    <xf numFmtId="0" fontId="0" fillId="22" borderId="0" xfId="0" applyFill="1" applyAlignment="1" applyProtection="1">
      <alignment vertical="center"/>
      <protection hidden="1"/>
    </xf>
    <xf numFmtId="0" fontId="46" fillId="12" borderId="26" xfId="0" applyFont="1" applyFill="1" applyBorder="1" applyAlignment="1" applyProtection="1">
      <alignment vertical="center"/>
      <protection hidden="1"/>
    </xf>
    <xf numFmtId="0" fontId="46" fillId="12" borderId="0" xfId="0" applyFont="1" applyFill="1" applyAlignment="1" applyProtection="1">
      <alignment vertical="center"/>
      <protection hidden="1"/>
    </xf>
    <xf numFmtId="164" fontId="46" fillId="12" borderId="26" xfId="1" applyFont="1" applyFill="1" applyBorder="1" applyAlignment="1" applyProtection="1">
      <alignment horizontal="left" vertical="center"/>
      <protection hidden="1"/>
    </xf>
    <xf numFmtId="0" fontId="46" fillId="12" borderId="26" xfId="0" applyFont="1" applyFill="1" applyBorder="1" applyAlignment="1" applyProtection="1">
      <alignment horizontal="left" vertical="center"/>
      <protection hidden="1"/>
    </xf>
    <xf numFmtId="0" fontId="0" fillId="20" borderId="0" xfId="0" applyFill="1" applyAlignment="1" applyProtection="1">
      <alignment vertical="center"/>
      <protection hidden="1"/>
    </xf>
    <xf numFmtId="0" fontId="45" fillId="20" borderId="0" xfId="0" applyFont="1" applyFill="1" applyAlignment="1" applyProtection="1">
      <alignment vertical="center"/>
      <protection hidden="1"/>
    </xf>
    <xf numFmtId="0" fontId="0" fillId="20" borderId="27" xfId="0" applyFill="1" applyBorder="1" applyAlignment="1" applyProtection="1">
      <alignment vertical="center"/>
      <protection hidden="1"/>
    </xf>
    <xf numFmtId="0" fontId="43" fillId="19" borderId="63" xfId="0" applyFont="1" applyFill="1" applyBorder="1" applyAlignment="1" applyProtection="1">
      <alignment vertical="center"/>
      <protection hidden="1"/>
    </xf>
    <xf numFmtId="0" fontId="39" fillId="20" borderId="24" xfId="0" applyFont="1" applyFill="1" applyBorder="1" applyAlignment="1" applyProtection="1">
      <alignment vertical="center"/>
      <protection hidden="1"/>
    </xf>
    <xf numFmtId="0" fontId="39" fillId="20" borderId="60" xfId="0" applyFont="1" applyFill="1" applyBorder="1" applyAlignment="1" applyProtection="1">
      <alignment vertical="center"/>
      <protection hidden="1"/>
    </xf>
    <xf numFmtId="0" fontId="39" fillId="20" borderId="26" xfId="0" applyFont="1" applyFill="1" applyBorder="1" applyAlignment="1" applyProtection="1">
      <alignment vertical="center"/>
      <protection hidden="1"/>
    </xf>
    <xf numFmtId="0" fontId="39" fillId="20" borderId="0" xfId="0" applyFont="1" applyFill="1" applyAlignment="1" applyProtection="1">
      <alignment vertical="center"/>
      <protection hidden="1"/>
    </xf>
    <xf numFmtId="0" fontId="40" fillId="20" borderId="36" xfId="0" applyFont="1" applyFill="1" applyBorder="1" applyAlignment="1" applyProtection="1">
      <alignment vertical="center"/>
      <protection hidden="1"/>
    </xf>
    <xf numFmtId="0" fontId="40" fillId="20" borderId="37" xfId="0" applyFont="1" applyFill="1" applyBorder="1" applyAlignment="1" applyProtection="1">
      <alignment vertical="center"/>
      <protection hidden="1"/>
    </xf>
    <xf numFmtId="164" fontId="0" fillId="7" borderId="6" xfId="1" applyFont="1" applyFill="1" applyBorder="1" applyAlignment="1" applyProtection="1">
      <alignment vertical="center"/>
      <protection hidden="1"/>
    </xf>
    <xf numFmtId="0" fontId="15" fillId="19" borderId="69" xfId="0" applyFont="1" applyFill="1" applyBorder="1" applyAlignment="1" applyProtection="1">
      <alignment vertical="center"/>
      <protection hidden="1"/>
    </xf>
    <xf numFmtId="0" fontId="31" fillId="19" borderId="70" xfId="0" applyFont="1" applyFill="1" applyBorder="1" applyAlignment="1" applyProtection="1">
      <alignment vertical="center"/>
      <protection hidden="1"/>
    </xf>
    <xf numFmtId="0" fontId="15" fillId="19" borderId="70" xfId="0" applyFont="1" applyFill="1" applyBorder="1" applyAlignment="1" applyProtection="1">
      <alignment vertical="center"/>
      <protection hidden="1"/>
    </xf>
    <xf numFmtId="0" fontId="15" fillId="19" borderId="71" xfId="0" applyFont="1" applyFill="1" applyBorder="1" applyAlignment="1" applyProtection="1">
      <alignment vertical="center"/>
      <protection hidden="1"/>
    </xf>
    <xf numFmtId="0" fontId="44" fillId="19" borderId="57" xfId="0" applyFont="1" applyFill="1" applyBorder="1" applyAlignment="1" applyProtection="1">
      <alignment horizontal="left" vertical="center"/>
      <protection hidden="1"/>
    </xf>
    <xf numFmtId="164" fontId="0" fillId="7" borderId="29" xfId="1" applyFont="1" applyFill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top"/>
      <protection hidden="1"/>
    </xf>
    <xf numFmtId="0" fontId="48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66" fontId="6" fillId="0" borderId="72" xfId="0" applyNumberFormat="1" applyFont="1" applyBorder="1" applyAlignment="1" applyProtection="1">
      <alignment horizontal="center" vertical="center"/>
      <protection locked="0" hidden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center"/>
      <protection hidden="1"/>
    </xf>
    <xf numFmtId="0" fontId="11" fillId="0" borderId="0" xfId="0" applyFont="1"/>
    <xf numFmtId="0" fontId="49" fillId="23" borderId="73" xfId="0" applyFont="1" applyFill="1" applyBorder="1" applyAlignment="1" applyProtection="1">
      <alignment horizontal="center" vertical="center"/>
      <protection hidden="1"/>
    </xf>
    <xf numFmtId="164" fontId="3" fillId="0" borderId="73" xfId="3" applyFont="1" applyBorder="1" applyAlignment="1" applyProtection="1">
      <alignment horizontal="center" vertical="center"/>
      <protection locked="0"/>
    </xf>
    <xf numFmtId="2" fontId="3" fillId="0" borderId="7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/>
    <xf numFmtId="0" fontId="49" fillId="23" borderId="74" xfId="0" applyFont="1" applyFill="1" applyBorder="1" applyAlignment="1" applyProtection="1">
      <alignment horizontal="center" vertical="center"/>
      <protection hidden="1"/>
    </xf>
    <xf numFmtId="169" fontId="3" fillId="0" borderId="74" xfId="0" applyNumberFormat="1" applyFont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0" fontId="23" fillId="0" borderId="0" xfId="0" applyFont="1"/>
    <xf numFmtId="0" fontId="49" fillId="23" borderId="75" xfId="0" applyFont="1" applyFill="1" applyBorder="1" applyAlignment="1" applyProtection="1">
      <alignment horizontal="center" vertical="center"/>
      <protection hidden="1"/>
    </xf>
    <xf numFmtId="169" fontId="3" fillId="0" borderId="75" xfId="0" applyNumberFormat="1" applyFont="1" applyBorder="1" applyAlignment="1" applyProtection="1">
      <alignment horizontal="center" vertical="center"/>
      <protection locked="0"/>
    </xf>
    <xf numFmtId="1" fontId="50" fillId="0" borderId="0" xfId="0" applyNumberFormat="1" applyFont="1" applyAlignment="1" applyProtection="1">
      <alignment horizontal="center" vertical="center"/>
      <protection hidden="1"/>
    </xf>
    <xf numFmtId="14" fontId="23" fillId="0" borderId="0" xfId="0" applyNumberFormat="1" applyFont="1" applyAlignment="1" applyProtection="1">
      <alignment horizontal="center"/>
      <protection hidden="1"/>
    </xf>
    <xf numFmtId="0" fontId="52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0" fillId="12" borderId="76" xfId="0" applyFill="1" applyBorder="1" applyAlignment="1" applyProtection="1">
      <alignment horizontal="center" vertical="center"/>
      <protection hidden="1"/>
    </xf>
    <xf numFmtId="0" fontId="0" fillId="0" borderId="76" xfId="0" applyBorder="1" applyAlignment="1" applyProtection="1">
      <alignment horizontal="center" vertical="center"/>
      <protection locked="0"/>
    </xf>
    <xf numFmtId="164" fontId="0" fillId="0" borderId="76" xfId="0" applyNumberFormat="1" applyBorder="1" applyAlignment="1" applyProtection="1">
      <alignment horizontal="center" vertical="center"/>
      <protection locked="0"/>
    </xf>
    <xf numFmtId="0" fontId="0" fillId="0" borderId="76" xfId="0" applyBorder="1" applyAlignment="1" applyProtection="1">
      <alignment horizontal="center" vertical="center"/>
      <protection locked="0" hidden="1"/>
    </xf>
    <xf numFmtId="164" fontId="0" fillId="12" borderId="76" xfId="0" applyNumberFormat="1" applyFill="1" applyBorder="1" applyAlignment="1" applyProtection="1">
      <alignment horizontal="center" vertical="center" wrapText="1"/>
      <protection hidden="1"/>
    </xf>
    <xf numFmtId="164" fontId="0" fillId="12" borderId="76" xfId="0" applyNumberFormat="1" applyFill="1" applyBorder="1" applyAlignment="1" applyProtection="1">
      <alignment horizontal="center" vertical="center"/>
      <protection hidden="1"/>
    </xf>
    <xf numFmtId="169" fontId="0" fillId="0" borderId="76" xfId="0" applyNumberFormat="1" applyBorder="1" applyAlignment="1" applyProtection="1">
      <alignment horizontal="center" vertical="center"/>
      <protection locked="0"/>
    </xf>
    <xf numFmtId="0" fontId="23" fillId="0" borderId="77" xfId="0" applyFont="1" applyBorder="1" applyAlignment="1" applyProtection="1">
      <alignment horizontal="center" vertical="center"/>
      <protection locked="0" hidden="1"/>
    </xf>
    <xf numFmtId="170" fontId="11" fillId="0" borderId="0" xfId="3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14" fontId="11" fillId="0" borderId="0" xfId="0" applyNumberFormat="1" applyFont="1"/>
    <xf numFmtId="0" fontId="11" fillId="0" borderId="0" xfId="0" applyFont="1" applyAlignment="1" applyProtection="1">
      <alignment horizontal="center"/>
      <protection hidden="1"/>
    </xf>
    <xf numFmtId="9" fontId="11" fillId="0" borderId="0" xfId="2" applyFont="1" applyFill="1" applyBorder="1" applyAlignment="1" applyProtection="1">
      <protection hidden="1"/>
    </xf>
    <xf numFmtId="9" fontId="11" fillId="0" borderId="0" xfId="0" applyNumberFormat="1" applyFont="1" applyProtection="1">
      <protection hidden="1"/>
    </xf>
    <xf numFmtId="164" fontId="11" fillId="0" borderId="0" xfId="0" applyNumberFormat="1" applyFont="1" applyProtection="1">
      <protection hidden="1"/>
    </xf>
    <xf numFmtId="9" fontId="11" fillId="0" borderId="0" xfId="2" applyFont="1" applyAlignment="1" applyProtection="1">
      <protection hidden="1"/>
    </xf>
    <xf numFmtId="0" fontId="0" fillId="4" borderId="76" xfId="0" applyFill="1" applyBorder="1" applyAlignment="1" applyProtection="1">
      <alignment horizontal="center" vertical="center"/>
      <protection hidden="1"/>
    </xf>
    <xf numFmtId="0" fontId="0" fillId="4" borderId="76" xfId="0" applyFill="1" applyBorder="1" applyAlignment="1" applyProtection="1">
      <alignment horizontal="center" vertical="center"/>
      <protection locked="0"/>
    </xf>
    <xf numFmtId="164" fontId="0" fillId="4" borderId="76" xfId="0" applyNumberFormat="1" applyFill="1" applyBorder="1" applyAlignment="1" applyProtection="1">
      <alignment horizontal="center" vertical="center"/>
      <protection locked="0"/>
    </xf>
    <xf numFmtId="0" fontId="0" fillId="4" borderId="76" xfId="0" applyFill="1" applyBorder="1" applyAlignment="1" applyProtection="1">
      <alignment horizontal="center" vertical="center"/>
      <protection locked="0" hidden="1"/>
    </xf>
    <xf numFmtId="164" fontId="0" fillId="4" borderId="76" xfId="0" applyNumberFormat="1" applyFill="1" applyBorder="1" applyAlignment="1" applyProtection="1">
      <alignment horizontal="center" vertical="center" wrapText="1"/>
      <protection hidden="1"/>
    </xf>
    <xf numFmtId="164" fontId="0" fillId="4" borderId="76" xfId="0" applyNumberFormat="1" applyFill="1" applyBorder="1" applyAlignment="1" applyProtection="1">
      <alignment horizontal="center" vertical="center"/>
      <protection hidden="1"/>
    </xf>
    <xf numFmtId="169" fontId="0" fillId="4" borderId="76" xfId="0" applyNumberFormat="1" applyFill="1" applyBorder="1" applyAlignment="1" applyProtection="1">
      <alignment horizontal="center" vertical="center"/>
      <protection locked="0"/>
    </xf>
    <xf numFmtId="0" fontId="23" fillId="4" borderId="77" xfId="0" applyFont="1" applyFill="1" applyBorder="1" applyAlignment="1" applyProtection="1">
      <alignment horizontal="center" vertical="center"/>
      <protection locked="0" hidden="1"/>
    </xf>
    <xf numFmtId="0" fontId="0" fillId="24" borderId="76" xfId="0" applyFill="1" applyBorder="1" applyAlignment="1" applyProtection="1">
      <alignment horizontal="center" vertical="center"/>
      <protection hidden="1"/>
    </xf>
    <xf numFmtId="0" fontId="0" fillId="24" borderId="76" xfId="0" applyFill="1" applyBorder="1" applyAlignment="1" applyProtection="1">
      <alignment horizontal="center" vertical="center"/>
      <protection locked="0"/>
    </xf>
    <xf numFmtId="164" fontId="0" fillId="24" borderId="76" xfId="0" applyNumberFormat="1" applyFill="1" applyBorder="1" applyAlignment="1" applyProtection="1">
      <alignment horizontal="center" vertical="center"/>
      <protection locked="0"/>
    </xf>
    <xf numFmtId="0" fontId="0" fillId="24" borderId="76" xfId="0" applyFill="1" applyBorder="1" applyAlignment="1" applyProtection="1">
      <alignment horizontal="center" vertical="center"/>
      <protection locked="0" hidden="1"/>
    </xf>
    <xf numFmtId="164" fontId="0" fillId="25" borderId="76" xfId="0" applyNumberFormat="1" applyFill="1" applyBorder="1" applyAlignment="1" applyProtection="1">
      <alignment horizontal="center" vertical="center" wrapText="1"/>
      <protection hidden="1"/>
    </xf>
    <xf numFmtId="164" fontId="0" fillId="25" borderId="76" xfId="0" applyNumberFormat="1" applyFill="1" applyBorder="1" applyAlignment="1" applyProtection="1">
      <alignment horizontal="center" vertical="center"/>
      <protection hidden="1"/>
    </xf>
    <xf numFmtId="169" fontId="0" fillId="24" borderId="76" xfId="0" applyNumberFormat="1" applyFill="1" applyBorder="1" applyAlignment="1" applyProtection="1">
      <alignment horizontal="center" vertical="center"/>
      <protection locked="0"/>
    </xf>
    <xf numFmtId="0" fontId="23" fillId="25" borderId="77" xfId="0" applyFont="1" applyFill="1" applyBorder="1" applyAlignment="1" applyProtection="1">
      <alignment horizontal="center" vertical="center"/>
      <protection locked="0" hidden="1"/>
    </xf>
    <xf numFmtId="0" fontId="11" fillId="26" borderId="76" xfId="0" applyFont="1" applyFill="1" applyBorder="1" applyAlignment="1" applyProtection="1">
      <alignment horizontal="center" vertical="center"/>
      <protection hidden="1"/>
    </xf>
    <xf numFmtId="0" fontId="11" fillId="26" borderId="76" xfId="0" applyFont="1" applyFill="1" applyBorder="1" applyAlignment="1" applyProtection="1">
      <alignment horizontal="center" vertical="center"/>
      <protection locked="0"/>
    </xf>
    <xf numFmtId="164" fontId="11" fillId="26" borderId="76" xfId="0" applyNumberFormat="1" applyFont="1" applyFill="1" applyBorder="1" applyAlignment="1" applyProtection="1">
      <alignment horizontal="center" vertical="center"/>
      <protection locked="0"/>
    </xf>
    <xf numFmtId="0" fontId="11" fillId="26" borderId="76" xfId="0" applyFont="1" applyFill="1" applyBorder="1" applyAlignment="1" applyProtection="1">
      <alignment horizontal="center" vertical="center"/>
      <protection locked="0" hidden="1"/>
    </xf>
    <xf numFmtId="164" fontId="0" fillId="26" borderId="76" xfId="0" applyNumberFormat="1" applyFill="1" applyBorder="1" applyAlignment="1" applyProtection="1">
      <alignment horizontal="center" vertical="center" wrapText="1"/>
      <protection hidden="1"/>
    </xf>
    <xf numFmtId="164" fontId="0" fillId="26" borderId="76" xfId="0" applyNumberFormat="1" applyFill="1" applyBorder="1" applyAlignment="1" applyProtection="1">
      <alignment horizontal="center" vertical="center"/>
      <protection hidden="1"/>
    </xf>
    <xf numFmtId="169" fontId="0" fillId="26" borderId="76" xfId="0" applyNumberFormat="1" applyFill="1" applyBorder="1" applyAlignment="1" applyProtection="1">
      <alignment horizontal="center" vertical="center"/>
      <protection locked="0"/>
    </xf>
    <xf numFmtId="0" fontId="23" fillId="26" borderId="77" xfId="0" applyFont="1" applyFill="1" applyBorder="1" applyAlignment="1" applyProtection="1">
      <alignment horizontal="center" vertical="center"/>
      <protection locked="0" hidden="1"/>
    </xf>
    <xf numFmtId="0" fontId="0" fillId="12" borderId="78" xfId="0" applyFill="1" applyBorder="1" applyAlignment="1" applyProtection="1">
      <alignment horizontal="center" vertical="center"/>
      <protection hidden="1"/>
    </xf>
    <xf numFmtId="0" fontId="0" fillId="0" borderId="78" xfId="0" applyBorder="1" applyAlignment="1" applyProtection="1">
      <alignment horizontal="center" vertical="center"/>
      <protection locked="0"/>
    </xf>
    <xf numFmtId="164" fontId="0" fillId="0" borderId="78" xfId="0" applyNumberFormat="1" applyBorder="1" applyAlignment="1" applyProtection="1">
      <alignment horizontal="center" vertical="center"/>
      <protection locked="0"/>
    </xf>
    <xf numFmtId="0" fontId="0" fillId="0" borderId="78" xfId="0" applyBorder="1" applyAlignment="1" applyProtection="1">
      <alignment horizontal="center" vertical="center"/>
      <protection locked="0" hidden="1"/>
    </xf>
    <xf numFmtId="164" fontId="0" fillId="12" borderId="78" xfId="0" applyNumberFormat="1" applyFill="1" applyBorder="1" applyAlignment="1" applyProtection="1">
      <alignment horizontal="center" vertical="center" wrapText="1"/>
      <protection hidden="1"/>
    </xf>
    <xf numFmtId="164" fontId="0" fillId="12" borderId="78" xfId="0" applyNumberFormat="1" applyFill="1" applyBorder="1" applyAlignment="1" applyProtection="1">
      <alignment horizontal="center" vertical="center"/>
      <protection hidden="1"/>
    </xf>
    <xf numFmtId="0" fontId="23" fillId="0" borderId="79" xfId="0" applyFont="1" applyBorder="1" applyAlignment="1" applyProtection="1">
      <alignment horizontal="center" vertical="center"/>
      <protection locked="0" hidden="1"/>
    </xf>
    <xf numFmtId="167" fontId="15" fillId="11" borderId="0" xfId="0" applyNumberFormat="1" applyFont="1" applyFill="1" applyAlignment="1">
      <alignment vertical="center"/>
    </xf>
    <xf numFmtId="167" fontId="15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hidden="1"/>
    </xf>
    <xf numFmtId="0" fontId="16" fillId="22" borderId="0" xfId="0" applyFont="1" applyFill="1" applyAlignment="1" applyProtection="1">
      <alignment horizontal="center" vertical="center"/>
      <protection hidden="1"/>
    </xf>
    <xf numFmtId="0" fontId="55" fillId="12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18" fillId="7" borderId="7" xfId="0" applyFont="1" applyFill="1" applyBorder="1" applyAlignment="1">
      <alignment horizontal="center" vertical="center"/>
    </xf>
    <xf numFmtId="0" fontId="23" fillId="17" borderId="21" xfId="0" applyFont="1" applyFill="1" applyBorder="1" applyProtection="1">
      <protection hidden="1"/>
    </xf>
    <xf numFmtId="0" fontId="26" fillId="3" borderId="21" xfId="0" applyFont="1" applyFill="1" applyBorder="1" applyProtection="1">
      <protection hidden="1"/>
    </xf>
    <xf numFmtId="0" fontId="9" fillId="0" borderId="21" xfId="0" applyFont="1" applyBorder="1" applyProtection="1">
      <protection hidden="1"/>
    </xf>
    <xf numFmtId="0" fontId="25" fillId="18" borderId="21" xfId="0" applyFont="1" applyFill="1" applyBorder="1" applyProtection="1">
      <protection hidden="1"/>
    </xf>
    <xf numFmtId="0" fontId="24" fillId="18" borderId="21" xfId="0" applyFont="1" applyFill="1" applyBorder="1" applyProtection="1">
      <protection hidden="1"/>
    </xf>
    <xf numFmtId="164" fontId="0" fillId="12" borderId="6" xfId="1" applyFont="1" applyFill="1" applyBorder="1" applyAlignment="1" applyProtection="1">
      <alignment horizontal="center" vertical="center"/>
      <protection locked="0" hidden="1"/>
    </xf>
    <xf numFmtId="169" fontId="0" fillId="12" borderId="6" xfId="0" applyNumberFormat="1" applyFill="1" applyBorder="1" applyAlignment="1" applyProtection="1">
      <alignment horizontal="center" vertical="center"/>
      <protection locked="0" hidden="1"/>
    </xf>
    <xf numFmtId="164" fontId="0" fillId="12" borderId="6" xfId="0" applyNumberFormat="1" applyFill="1" applyBorder="1" applyAlignment="1" applyProtection="1">
      <alignment horizontal="center" vertical="center"/>
      <protection locked="0" hidden="1"/>
    </xf>
    <xf numFmtId="1" fontId="0" fillId="12" borderId="6" xfId="0" applyNumberFormat="1" applyFill="1" applyBorder="1" applyAlignment="1" applyProtection="1">
      <alignment horizontal="center" vertical="center"/>
      <protection locked="0" hidden="1"/>
    </xf>
    <xf numFmtId="164" fontId="31" fillId="9" borderId="57" xfId="1" applyFont="1" applyFill="1" applyBorder="1" applyAlignment="1" applyProtection="1">
      <alignment vertical="center"/>
      <protection hidden="1"/>
    </xf>
    <xf numFmtId="164" fontId="31" fillId="9" borderId="38" xfId="1" applyFont="1" applyFill="1" applyBorder="1" applyAlignment="1" applyProtection="1">
      <alignment vertical="center"/>
      <protection hidden="1"/>
    </xf>
    <xf numFmtId="0" fontId="42" fillId="21" borderId="42" xfId="0" applyFont="1" applyFill="1" applyBorder="1" applyAlignment="1" applyProtection="1">
      <alignment vertical="center"/>
      <protection hidden="1"/>
    </xf>
    <xf numFmtId="0" fontId="42" fillId="21" borderId="30" xfId="0" applyFont="1" applyFill="1" applyBorder="1" applyAlignment="1" applyProtection="1">
      <alignment vertical="center"/>
      <protection hidden="1"/>
    </xf>
    <xf numFmtId="0" fontId="10" fillId="20" borderId="41" xfId="0" applyFont="1" applyFill="1" applyBorder="1" applyAlignment="1" applyProtection="1">
      <alignment horizontal="center" vertical="center"/>
      <protection hidden="1"/>
    </xf>
    <xf numFmtId="0" fontId="10" fillId="20" borderId="20" xfId="0" applyFont="1" applyFill="1" applyBorder="1" applyAlignment="1" applyProtection="1">
      <alignment horizontal="center" vertical="center"/>
      <protection hidden="1"/>
    </xf>
    <xf numFmtId="0" fontId="10" fillId="20" borderId="44" xfId="0" applyFont="1" applyFill="1" applyBorder="1" applyAlignment="1" applyProtection="1">
      <alignment horizontal="center" vertical="center"/>
      <protection hidden="1"/>
    </xf>
    <xf numFmtId="0" fontId="37" fillId="19" borderId="20" xfId="0" applyFont="1" applyFill="1" applyBorder="1" applyAlignment="1" applyProtection="1">
      <alignment vertical="center"/>
      <protection hidden="1"/>
    </xf>
    <xf numFmtId="0" fontId="0" fillId="7" borderId="50" xfId="0" applyFill="1" applyBorder="1" applyAlignment="1" applyProtection="1">
      <alignment vertical="center"/>
      <protection hidden="1"/>
    </xf>
    <xf numFmtId="164" fontId="31" fillId="9" borderId="19" xfId="1" applyFont="1" applyFill="1" applyBorder="1" applyAlignment="1" applyProtection="1">
      <alignment vertical="center"/>
      <protection hidden="1"/>
    </xf>
    <xf numFmtId="164" fontId="31" fillId="9" borderId="44" xfId="1" applyFont="1" applyFill="1" applyBorder="1" applyAlignment="1" applyProtection="1">
      <alignment vertical="center"/>
      <protection hidden="1"/>
    </xf>
    <xf numFmtId="164" fontId="31" fillId="9" borderId="51" xfId="1" applyFont="1" applyFill="1" applyBorder="1" applyAlignment="1" applyProtection="1">
      <alignment vertical="center"/>
      <protection hidden="1"/>
    </xf>
    <xf numFmtId="164" fontId="31" fillId="9" borderId="52" xfId="1" applyFont="1" applyFill="1" applyBorder="1" applyAlignment="1" applyProtection="1">
      <alignment vertical="center"/>
      <protection hidden="1"/>
    </xf>
    <xf numFmtId="0" fontId="0" fillId="7" borderId="7" xfId="0" applyFill="1" applyBorder="1" applyAlignment="1" applyProtection="1">
      <alignment vertical="center"/>
      <protection hidden="1"/>
    </xf>
    <xf numFmtId="0" fontId="0" fillId="7" borderId="6" xfId="0" applyFill="1" applyBorder="1" applyAlignment="1" applyProtection="1">
      <alignment vertical="center"/>
      <protection hidden="1"/>
    </xf>
    <xf numFmtId="0" fontId="0" fillId="7" borderId="42" xfId="0" applyFill="1" applyBorder="1" applyAlignment="1" applyProtection="1">
      <alignment vertical="center"/>
      <protection hidden="1"/>
    </xf>
    <xf numFmtId="0" fontId="0" fillId="7" borderId="30" xfId="0" applyFill="1" applyBorder="1" applyAlignment="1" applyProtection="1">
      <alignment vertical="center"/>
      <protection hidden="1"/>
    </xf>
    <xf numFmtId="0" fontId="35" fillId="19" borderId="48" xfId="0" applyFont="1" applyFill="1" applyBorder="1" applyAlignment="1" applyProtection="1">
      <alignment horizontal="left" vertical="center"/>
      <protection hidden="1"/>
    </xf>
    <xf numFmtId="0" fontId="35" fillId="19" borderId="32" xfId="0" applyFont="1" applyFill="1" applyBorder="1" applyAlignment="1" applyProtection="1">
      <alignment horizontal="left" vertical="center"/>
      <protection hidden="1"/>
    </xf>
    <xf numFmtId="0" fontId="35" fillId="19" borderId="58" xfId="0" applyFont="1" applyFill="1" applyBorder="1" applyAlignment="1" applyProtection="1">
      <alignment horizontal="left" vertical="center"/>
      <protection hidden="1"/>
    </xf>
    <xf numFmtId="0" fontId="35" fillId="19" borderId="48" xfId="0" applyFont="1" applyFill="1" applyBorder="1" applyAlignment="1" applyProtection="1">
      <alignment horizontal="center" vertical="center"/>
      <protection hidden="1"/>
    </xf>
    <xf numFmtId="0" fontId="35" fillId="19" borderId="33" xfId="0" applyFont="1" applyFill="1" applyBorder="1" applyAlignment="1" applyProtection="1">
      <alignment horizontal="center" vertical="center"/>
      <protection hidden="1"/>
    </xf>
    <xf numFmtId="10" fontId="36" fillId="12" borderId="53" xfId="0" applyNumberFormat="1" applyFont="1" applyFill="1" applyBorder="1" applyAlignment="1" applyProtection="1">
      <alignment horizontal="center" vertical="center"/>
      <protection hidden="1"/>
    </xf>
    <xf numFmtId="10" fontId="36" fillId="12" borderId="54" xfId="0" applyNumberFormat="1" applyFont="1" applyFill="1" applyBorder="1" applyAlignment="1" applyProtection="1">
      <alignment horizontal="center" vertical="center"/>
      <protection hidden="1"/>
    </xf>
    <xf numFmtId="10" fontId="36" fillId="12" borderId="21" xfId="0" applyNumberFormat="1" applyFont="1" applyFill="1" applyBorder="1" applyAlignment="1" applyProtection="1">
      <alignment horizontal="center" vertical="center"/>
      <protection hidden="1"/>
    </xf>
    <xf numFmtId="10" fontId="36" fillId="12" borderId="27" xfId="0" applyNumberFormat="1" applyFont="1" applyFill="1" applyBorder="1" applyAlignment="1" applyProtection="1">
      <alignment horizontal="center" vertical="center"/>
      <protection hidden="1"/>
    </xf>
    <xf numFmtId="10" fontId="36" fillId="12" borderId="55" xfId="0" applyNumberFormat="1" applyFont="1" applyFill="1" applyBorder="1" applyAlignment="1" applyProtection="1">
      <alignment horizontal="center" vertical="center"/>
      <protection hidden="1"/>
    </xf>
    <xf numFmtId="10" fontId="36" fillId="12" borderId="28" xfId="0" applyNumberFormat="1" applyFont="1" applyFill="1" applyBorder="1" applyAlignment="1" applyProtection="1">
      <alignment horizontal="center" vertical="center"/>
      <protection hidden="1"/>
    </xf>
    <xf numFmtId="0" fontId="47" fillId="12" borderId="0" xfId="0" applyFont="1" applyFill="1" applyAlignment="1" applyProtection="1">
      <alignment horizontal="center" vertical="center"/>
      <protection hidden="1"/>
    </xf>
    <xf numFmtId="0" fontId="0" fillId="20" borderId="36" xfId="0" applyFill="1" applyBorder="1" applyAlignment="1" applyProtection="1">
      <alignment vertical="center"/>
      <protection hidden="1"/>
    </xf>
    <xf numFmtId="0" fontId="0" fillId="20" borderId="37" xfId="0" applyFill="1" applyBorder="1" applyAlignment="1" applyProtection="1">
      <alignment vertical="center"/>
      <protection hidden="1"/>
    </xf>
    <xf numFmtId="0" fontId="0" fillId="20" borderId="38" xfId="0" applyFill="1" applyBorder="1" applyAlignment="1" applyProtection="1">
      <alignment vertical="center"/>
      <protection hidden="1"/>
    </xf>
    <xf numFmtId="169" fontId="0" fillId="0" borderId="19" xfId="0" applyNumberFormat="1" applyBorder="1" applyAlignment="1" applyProtection="1">
      <alignment horizontal="center" vertical="center"/>
      <protection locked="0" hidden="1"/>
    </xf>
    <xf numFmtId="169" fontId="0" fillId="0" borderId="7" xfId="0" applyNumberFormat="1" applyBorder="1" applyAlignment="1" applyProtection="1">
      <alignment horizontal="center" vertical="center"/>
      <protection locked="0" hidden="1"/>
    </xf>
    <xf numFmtId="0" fontId="11" fillId="19" borderId="41" xfId="0" applyFont="1" applyFill="1" applyBorder="1" applyAlignment="1" applyProtection="1">
      <alignment horizontal="center" vertical="center"/>
      <protection hidden="1"/>
    </xf>
    <xf numFmtId="0" fontId="11" fillId="19" borderId="20" xfId="0" applyFont="1" applyFill="1" applyBorder="1" applyAlignment="1" applyProtection="1">
      <alignment horizontal="center" vertical="center"/>
      <protection hidden="1"/>
    </xf>
    <xf numFmtId="1" fontId="33" fillId="0" borderId="62" xfId="0" applyNumberFormat="1" applyFont="1" applyBorder="1" applyAlignment="1" applyProtection="1">
      <alignment horizontal="center" vertical="center"/>
      <protection locked="0" hidden="1"/>
    </xf>
    <xf numFmtId="1" fontId="33" fillId="0" borderId="61" xfId="0" applyNumberFormat="1" applyFont="1" applyBorder="1" applyAlignment="1" applyProtection="1">
      <alignment horizontal="center" vertical="center"/>
      <protection locked="0" hidden="1"/>
    </xf>
    <xf numFmtId="0" fontId="30" fillId="20" borderId="39" xfId="0" applyFont="1" applyFill="1" applyBorder="1" applyAlignment="1" applyProtection="1">
      <alignment horizontal="center" vertical="center"/>
      <protection hidden="1"/>
    </xf>
    <xf numFmtId="0" fontId="30" fillId="20" borderId="34" xfId="0" applyFont="1" applyFill="1" applyBorder="1" applyAlignment="1" applyProtection="1">
      <alignment horizontal="center" vertical="center"/>
      <protection hidden="1"/>
    </xf>
    <xf numFmtId="0" fontId="30" fillId="20" borderId="35" xfId="0" applyFont="1" applyFill="1" applyBorder="1" applyAlignment="1" applyProtection="1">
      <alignment horizontal="center" vertical="center"/>
      <protection hidden="1"/>
    </xf>
    <xf numFmtId="0" fontId="16" fillId="22" borderId="0" xfId="0" applyFont="1" applyFill="1" applyAlignment="1" applyProtection="1">
      <alignment horizontal="center" vertical="center"/>
      <protection hidden="1"/>
    </xf>
    <xf numFmtId="0" fontId="0" fillId="7" borderId="7" xfId="0" applyFill="1" applyBorder="1" applyAlignment="1" applyProtection="1">
      <alignment horizontal="left" vertical="center"/>
      <protection hidden="1"/>
    </xf>
    <xf numFmtId="0" fontId="0" fillId="7" borderId="6" xfId="0" applyFill="1" applyBorder="1" applyAlignment="1" applyProtection="1">
      <alignment horizontal="left" vertical="center"/>
      <protection hidden="1"/>
    </xf>
    <xf numFmtId="0" fontId="32" fillId="20" borderId="26" xfId="0" applyFont="1" applyFill="1" applyBorder="1" applyAlignment="1" applyProtection="1">
      <alignment horizontal="center" vertical="center"/>
      <protection hidden="1"/>
    </xf>
    <xf numFmtId="0" fontId="32" fillId="20" borderId="0" xfId="0" applyFont="1" applyFill="1" applyAlignment="1" applyProtection="1">
      <alignment horizontal="center" vertical="center"/>
      <protection hidden="1"/>
    </xf>
    <xf numFmtId="0" fontId="32" fillId="20" borderId="27" xfId="0" applyFont="1" applyFill="1" applyBorder="1" applyAlignment="1" applyProtection="1">
      <alignment horizontal="center" vertical="center"/>
      <protection hidden="1"/>
    </xf>
    <xf numFmtId="164" fontId="31" fillId="9" borderId="43" xfId="1" applyFont="1" applyFill="1" applyBorder="1" applyAlignment="1" applyProtection="1">
      <alignment vertical="center"/>
      <protection hidden="1"/>
    </xf>
    <xf numFmtId="0" fontId="39" fillId="20" borderId="66" xfId="0" applyFont="1" applyFill="1" applyBorder="1" applyAlignment="1" applyProtection="1">
      <alignment vertical="center"/>
      <protection hidden="1"/>
    </xf>
    <xf numFmtId="0" fontId="39" fillId="20" borderId="25" xfId="0" applyFont="1" applyFill="1" applyBorder="1" applyAlignment="1" applyProtection="1">
      <alignment vertical="center"/>
      <protection hidden="1"/>
    </xf>
    <xf numFmtId="0" fontId="30" fillId="20" borderId="67" xfId="0" applyFont="1" applyFill="1" applyBorder="1" applyAlignment="1" applyProtection="1">
      <alignment horizontal="center" vertical="center"/>
      <protection hidden="1"/>
    </xf>
    <xf numFmtId="0" fontId="30" fillId="20" borderId="27" xfId="0" applyFont="1" applyFill="1" applyBorder="1" applyAlignment="1" applyProtection="1">
      <alignment horizontal="center" vertical="center"/>
      <protection hidden="1"/>
    </xf>
    <xf numFmtId="0" fontId="30" fillId="20" borderId="68" xfId="0" applyFont="1" applyFill="1" applyBorder="1" applyAlignment="1" applyProtection="1">
      <alignment horizontal="center" vertical="center"/>
      <protection hidden="1"/>
    </xf>
    <xf numFmtId="0" fontId="30" fillId="20" borderId="38" xfId="0" applyFont="1" applyFill="1" applyBorder="1" applyAlignment="1" applyProtection="1">
      <alignment horizontal="center" vertical="center"/>
      <protection hidden="1"/>
    </xf>
    <xf numFmtId="169" fontId="0" fillId="0" borderId="64" xfId="0" applyNumberFormat="1" applyBorder="1" applyAlignment="1" applyProtection="1">
      <alignment horizontal="left" vertical="center"/>
      <protection locked="0" hidden="1"/>
    </xf>
    <xf numFmtId="169" fontId="0" fillId="0" borderId="49" xfId="0" applyNumberFormat="1" applyBorder="1" applyAlignment="1" applyProtection="1">
      <alignment horizontal="left" vertical="center"/>
      <protection locked="0" hidden="1"/>
    </xf>
    <xf numFmtId="169" fontId="0" fillId="0" borderId="65" xfId="0" applyNumberFormat="1" applyBorder="1" applyAlignment="1" applyProtection="1">
      <alignment horizontal="left" vertical="center"/>
      <protection locked="0" hidden="1"/>
    </xf>
    <xf numFmtId="0" fontId="40" fillId="20" borderId="60" xfId="0" applyFont="1" applyFill="1" applyBorder="1" applyAlignment="1" applyProtection="1">
      <alignment horizontal="center" vertical="center" wrapText="1"/>
      <protection hidden="1"/>
    </xf>
    <xf numFmtId="0" fontId="40" fillId="20" borderId="0" xfId="0" applyFont="1" applyFill="1" applyAlignment="1" applyProtection="1">
      <alignment horizontal="center" vertical="center" wrapText="1"/>
      <protection hidden="1"/>
    </xf>
    <xf numFmtId="0" fontId="40" fillId="20" borderId="37" xfId="0" applyFont="1" applyFill="1" applyBorder="1" applyAlignment="1" applyProtection="1">
      <alignment horizontal="center" vertical="center" wrapText="1"/>
      <protection hidden="1"/>
    </xf>
    <xf numFmtId="0" fontId="0" fillId="7" borderId="20" xfId="0" applyFill="1" applyBorder="1" applyAlignment="1" applyProtection="1">
      <alignment vertical="center"/>
      <protection hidden="1"/>
    </xf>
    <xf numFmtId="0" fontId="54" fillId="20" borderId="41" xfId="0" applyFont="1" applyFill="1" applyBorder="1" applyAlignment="1" applyProtection="1">
      <alignment horizontal="center" vertical="center"/>
      <protection hidden="1"/>
    </xf>
    <xf numFmtId="0" fontId="54" fillId="20" borderId="20" xfId="0" applyFont="1" applyFill="1" applyBorder="1" applyAlignment="1" applyProtection="1">
      <alignment horizontal="center" vertical="center"/>
      <protection hidden="1"/>
    </xf>
    <xf numFmtId="0" fontId="54" fillId="20" borderId="44" xfId="0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51" fillId="0" borderId="0" xfId="0" applyFont="1" applyAlignment="1">
      <alignment horizontal="center" vertical="center"/>
    </xf>
    <xf numFmtId="167" fontId="15" fillId="11" borderId="0" xfId="0" applyNumberFormat="1" applyFont="1" applyFill="1" applyAlignment="1">
      <alignment horizontal="center" vertical="center"/>
    </xf>
    <xf numFmtId="0" fontId="4" fillId="0" borderId="0" xfId="0" applyFont="1" applyAlignment="1" applyProtection="1">
      <alignment horizontal="center" vertical="top"/>
      <protection hidden="1"/>
    </xf>
    <xf numFmtId="0" fontId="6" fillId="0" borderId="0" xfId="0" applyFont="1" applyAlignment="1" applyProtection="1">
      <alignment horizontal="center" vertical="top"/>
      <protection hidden="1"/>
    </xf>
    <xf numFmtId="0" fontId="3" fillId="0" borderId="21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0" fillId="9" borderId="8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21" fillId="10" borderId="14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</cellXfs>
  <cellStyles count="4">
    <cellStyle name="Currency" xfId="1" builtinId="4"/>
    <cellStyle name="Currency 2" xfId="3" xr:uid="{9D6CCD01-F9C9-4F79-9AB3-D5803203637B}"/>
    <cellStyle name="Normal" xfId="0" builtinId="0"/>
    <cellStyle name="Percent" xfId="2" builtinId="5"/>
  </cellStyles>
  <dxfs count="122">
    <dxf>
      <font>
        <strike val="0"/>
        <color theme="0" tint="-0.499984740745262"/>
      </font>
      <fill>
        <patternFill>
          <bgColor theme="1" tint="0.34998626667073579"/>
        </patternFill>
      </fill>
    </dxf>
    <dxf>
      <font>
        <strike/>
        <color theme="0" tint="-0.499984740745262"/>
      </font>
      <fill>
        <patternFill>
          <bgColor theme="1" tint="0.34998626667073579"/>
        </patternFill>
      </fill>
    </dxf>
    <dxf>
      <font>
        <strike/>
        <color theme="0" tint="-0.499984740745262"/>
      </font>
      <fill>
        <patternFill>
          <bgColor theme="1" tint="0.34998626667073579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99FF66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theme="3" tint="-0.499984740745262"/>
      </font>
      <fill>
        <patternFill>
          <bgColor rgb="FF99FF33"/>
        </patternFill>
      </fill>
    </dxf>
    <dxf>
      <font>
        <strike val="0"/>
        <color theme="0" tint="-0.499984740745262"/>
      </font>
      <fill>
        <patternFill>
          <bgColor theme="1" tint="0.34998626667073579"/>
        </patternFill>
      </fill>
    </dxf>
    <dxf>
      <font>
        <strike/>
        <color theme="0" tint="-0.499984740745262"/>
      </font>
      <fill>
        <patternFill>
          <bgColor theme="1" tint="0.34998626667073579"/>
        </patternFill>
      </fill>
    </dxf>
    <dxf>
      <font>
        <strike/>
        <color theme="0" tint="-0.499984740745262"/>
      </font>
      <fill>
        <patternFill>
          <bgColor theme="1" tint="0.34998626667073579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99FF66"/>
        </patternFill>
      </fill>
    </dxf>
    <dxf>
      <font>
        <color theme="9" tint="0.59996337778862885"/>
      </font>
      <fill>
        <gradientFill degree="90">
          <stop position="0">
            <color rgb="FF92D050"/>
          </stop>
          <stop position="1">
            <color rgb="FF92D050"/>
          </stop>
        </gradientFill>
      </fill>
    </dxf>
    <dxf>
      <font>
        <color rgb="FFFFFF99"/>
      </font>
      <fill>
        <patternFill patternType="solid">
          <fgColor theme="0"/>
          <bgColor rgb="FFFFFF00"/>
        </patternFill>
      </fill>
    </dxf>
    <dxf>
      <font>
        <color theme="0" tint="-0.34998626667073579"/>
      </font>
      <fill>
        <patternFill patternType="solid">
          <fgColor theme="0"/>
          <bgColor theme="0" tint="-0.499984740745262"/>
        </patternFill>
      </fill>
    </dxf>
    <dxf>
      <font>
        <color rgb="FFFF5050"/>
      </font>
      <fill>
        <patternFill>
          <bgColor rgb="FFFF0000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9" tint="-0.24994659260841701"/>
        </lef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fill>
        <patternFill>
          <bgColor rgb="FFFFEEB7"/>
        </patternFill>
      </fill>
    </dxf>
    <dxf>
      <fill>
        <patternFill>
          <bgColor theme="8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numFmt numFmtId="164" formatCode="_(&quot;$&quot;* #,##0.00_);_(&quot;$&quot;* \(#,##0.00\);_(&quot;$&quot;* &quot;-&quot;??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numFmt numFmtId="164" formatCode="_(&quot;$&quot;* #,##0.00_);_(&quot;$&quot;* \(#,##0.00\);_(&quot;$&quot;* &quot;-&quot;??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numFmt numFmtId="169" formatCode="[$-2C09]\ dd\ mmm\ 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numFmt numFmtId="169" formatCode="[$-2C09]\ dd\ mmm\ 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numFmt numFmtId="169" formatCode="[$-2C09]\ dd\ mmm\ 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numFmt numFmtId="169" formatCode="[$-2C09]\ dd\ mmm\ 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numFmt numFmtId="169" formatCode="[$-2C09]\ dd\ mmm\ 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border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  <protection locked="0" hidden="1"/>
    </dxf>
    <dxf>
      <alignment horizontal="center" vertical="center" textRotation="0" wrapText="1" indent="0" justifyLastLine="0" shrinkToFit="0" readingOrder="0"/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/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0" hidden="1"/>
    </dxf>
    <dxf>
      <numFmt numFmtId="171" formatCode="m/d/yyyy"/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0" hidden="0"/>
    </dxf>
    <dxf>
      <numFmt numFmtId="164" formatCode="_(&quot;$&quot;* #,##0.00_);_(&quot;$&quot;* \(#,##0.00\);_(&quot;$&quot;* &quot;-&quot;??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1" hidden="1"/>
    </dxf>
    <dxf>
      <numFmt numFmtId="164" formatCode="_(&quot;$&quot;* #,##0.00_);_(&quot;$&quot;* \(#,##0.00\);_(&quot;$&quot;* &quot;-&quot;??_);_(@_)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1" hidden="1"/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0" hidden="1"/>
    </dxf>
    <dxf>
      <numFmt numFmtId="16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0" hidden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-0.249977111117893"/>
        </left>
        <right style="thin">
          <color theme="3" tint="-0.249977111117893"/>
        </right>
        <top style="thin">
          <color theme="3" tint="-0.249977111117893"/>
        </top>
        <bottom style="thin">
          <color theme="3" tint="-0.249977111117893"/>
        </bottom>
        <vertical/>
        <horizontal/>
      </border>
      <protection locked="1" hidden="1"/>
    </dxf>
    <dxf>
      <border outline="0">
        <right style="thin">
          <color theme="3" tint="-0.499984740745262"/>
        </right>
        <bottom style="thin">
          <color theme="3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5050"/>
      <color rgb="FFFFFF99"/>
      <color rgb="FF00FF00"/>
      <color rgb="FF9900CC"/>
      <color rgb="FF99FF33"/>
      <color rgb="FFFF0000"/>
      <color rgb="FF99FF66"/>
      <color rgb="FF99FF99"/>
      <color rgb="FFFDEFE7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39827538501442"/>
          <c:y val="0.11904130404752039"/>
          <c:w val="0.56357236064185534"/>
          <c:h val="0.8809586959524796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BE-48E6-8E87-DCEF855DFA84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BE-48E6-8E87-DCEF855DFA84}"/>
              </c:ext>
            </c:extLst>
          </c:dPt>
          <c:cat>
            <c:strRef>
              <c:f>'Campaign Tracker'!$Q$16</c:f>
              <c:strCache>
                <c:ptCount val="1"/>
                <c:pt idx="0">
                  <c:v>Amount Needed</c:v>
                </c:pt>
              </c:strCache>
            </c:strRef>
          </c:cat>
          <c:val>
            <c:numRef>
              <c:f>'Campaign Tracker'!$P$17:$Q$17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BE-48E6-8E87-DCEF855D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/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62471886062493065"/>
          <c:y val="0.16708977593791852"/>
          <c:w val="0.37369459596376786"/>
          <c:h val="0.59578072477782384"/>
        </c:manualLayout>
      </c:layout>
      <c:doughnutChart>
        <c:varyColors val="1"/>
        <c:ser>
          <c:idx val="1"/>
          <c:order val="0"/>
          <c:tx>
            <c:strRef>
              <c:f>'Campaign Tracker'!$P$19:$Q$19</c:f>
              <c:strCache>
                <c:ptCount val="2"/>
                <c:pt idx="0">
                  <c:v>0%</c:v>
                </c:pt>
                <c:pt idx="1">
                  <c:v>100%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22-4CB8-8FE4-5351B04BB86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22-4CB8-8FE4-5351B04BB86C}"/>
              </c:ext>
            </c:extLst>
          </c:dPt>
          <c:val>
            <c:numRef>
              <c:f>'Campaign Tracker'!$P$19:$Q$19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22-4CB8-8FE4-5351B04BB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4"/>
        <c:extLst>
          <c:ext xmlns:c15="http://schemas.microsoft.com/office/drawing/2012/chart" uri="{02D57815-91ED-43cb-92C2-25804820EDAC}">
            <c15:filteredPieSeries>
              <c15:ser>
                <c:idx val="0"/>
                <c:order val="1"/>
                <c:spPr>
                  <a:solidFill>
                    <a:schemeClr val="accent2"/>
                  </a:solidFill>
                </c:spPr>
                <c:explosion val="12"/>
                <c:dPt>
                  <c:idx val="0"/>
                  <c:bubble3D val="0"/>
                  <c:explosion val="0"/>
                  <c:spPr>
                    <a:solidFill>
                      <a:schemeClr val="accent2"/>
                    </a:solidFill>
                    <a:ln w="19050" cap="flat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7222-4CB8-8FE4-5351B04BB86C}"/>
                    </c:ext>
                  </c:extLst>
                </c:dPt>
                <c:dPt>
                  <c:idx val="1"/>
                  <c:bubble3D val="0"/>
                  <c:explosion val="0"/>
                  <c:spPr>
                    <a:solidFill>
                      <a:schemeClr val="bg2">
                        <a:lumMod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222-4CB8-8FE4-5351B04BB86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'Campaign Tracker'!$P$16:$Q$16</c15:sqref>
                        </c15:formulaRef>
                      </c:ext>
                    </c:extLst>
                    <c:strCache>
                      <c:ptCount val="2"/>
                      <c:pt idx="0">
                        <c:v>Amount Settled</c:v>
                      </c:pt>
                      <c:pt idx="1">
                        <c:v>Amount Needed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'Campaign Tracker'!$P$18:$Q$18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222-4CB8-8FE4-5351B04BB86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APPS Goal</a:t>
            </a:r>
          </a:p>
        </c:rich>
      </c:tx>
      <c:layout>
        <c:manualLayout>
          <c:xMode val="edge"/>
          <c:yMode val="edge"/>
          <c:x val="0.34143007518046803"/>
          <c:y val="2.576291052516523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239827538501442"/>
          <c:y val="0.11904130404752039"/>
          <c:w val="0.56357236064185534"/>
          <c:h val="0.88095869595247966"/>
        </c:manualLayout>
      </c:layout>
      <c:doughnutChart>
        <c:varyColors val="1"/>
        <c:ser>
          <c:idx val="0"/>
          <c:order val="1"/>
          <c:spPr>
            <a:solidFill>
              <a:schemeClr val="accent2"/>
            </a:solidFill>
          </c:spPr>
          <c:explosion val="12"/>
          <c:dPt>
            <c:idx val="0"/>
            <c:bubble3D val="0"/>
            <c:explosion val="0"/>
            <c:spPr>
              <a:solidFill>
                <a:schemeClr val="accent2"/>
              </a:solidFill>
              <a:ln w="19050" cap="flat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86-4448-AB67-3E25E887AB0C}"/>
              </c:ext>
            </c:extLst>
          </c:dPt>
          <c:dPt>
            <c:idx val="1"/>
            <c:bubble3D val="0"/>
            <c:explosion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86-4448-AB67-3E25E887AB0C}"/>
              </c:ext>
            </c:extLst>
          </c:dPt>
          <c:cat>
            <c:strRef>
              <c:f>'Campaign Tracker'!$P$16:$Q$16</c:f>
              <c:strCache>
                <c:ptCount val="2"/>
                <c:pt idx="0">
                  <c:v>Amount Settled</c:v>
                </c:pt>
                <c:pt idx="1">
                  <c:v>Amount Needed</c:v>
                </c:pt>
              </c:strCache>
            </c:strRef>
          </c:cat>
          <c:val>
            <c:numRef>
              <c:f>'Campaign Tracker'!$P$18:$Q$18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6-4448-AB67-3E25E887A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1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AF86-4448-AB67-3E25E887AB0C}"/>
                    </c:ext>
                  </c:extLst>
                </c:dPt>
                <c:dPt>
                  <c:idx val="1"/>
                  <c:bubble3D val="0"/>
                  <c:spPr>
                    <a:noFill/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AF86-4448-AB67-3E25E887AB0C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'Campaign Tracker'!$P$20:$Q$20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F86-4448-AB67-3E25E887AB0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284759844455292"/>
          <c:y val="0.24538432695913012"/>
          <c:w val="0.29241773604013066"/>
          <c:h val="0.47174963594666947"/>
        </c:manualLayout>
      </c:layout>
      <c:doughnutChart>
        <c:varyColors val="1"/>
        <c:ser>
          <c:idx val="1"/>
          <c:order val="0"/>
          <c:spPr>
            <a:ln w="12700"/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E4-427B-AB9C-F9345CD9E255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E4-427B-AB9C-F9345CD9E255}"/>
              </c:ext>
            </c:extLst>
          </c:dPt>
          <c:val>
            <c:numRef>
              <c:f>'Campaign Tracker'!$P$20:$Q$20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E4-427B-AB9C-F9345CD9E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4"/>
        <c:extLst>
          <c:ext xmlns:c15="http://schemas.microsoft.com/office/drawing/2012/chart" uri="{02D57815-91ED-43cb-92C2-25804820EDAC}">
            <c15:filteredPieSeries>
              <c15:ser>
                <c:idx val="0"/>
                <c:order val="1"/>
                <c:spPr>
                  <a:solidFill>
                    <a:schemeClr val="accent2"/>
                  </a:solidFill>
                </c:spPr>
                <c:explosion val="12"/>
                <c:dPt>
                  <c:idx val="0"/>
                  <c:bubble3D val="0"/>
                  <c:explosion val="0"/>
                  <c:spPr>
                    <a:solidFill>
                      <a:schemeClr val="accent2"/>
                    </a:solidFill>
                    <a:ln w="19050" cap="flat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3EE4-427B-AB9C-F9345CD9E255}"/>
                    </c:ext>
                  </c:extLst>
                </c:dPt>
                <c:dPt>
                  <c:idx val="1"/>
                  <c:bubble3D val="0"/>
                  <c:explosion val="0"/>
                  <c:spPr>
                    <a:solidFill>
                      <a:schemeClr val="bg2">
                        <a:lumMod val="9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3EE4-427B-AB9C-F9345CD9E255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'Campaign Tracker'!$P$16:$Q$16</c15:sqref>
                        </c15:formulaRef>
                      </c:ext>
                    </c:extLst>
                    <c:strCache>
                      <c:ptCount val="2"/>
                      <c:pt idx="0">
                        <c:v>Amount Settled</c:v>
                      </c:pt>
                      <c:pt idx="1">
                        <c:v>Amount Needed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'Campaign Tracker'!$P$18:$Q$18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EE4-427B-AB9C-F9345CD9E255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</xdr:row>
      <xdr:rowOff>149474</xdr:rowOff>
    </xdr:from>
    <xdr:to>
      <xdr:col>3</xdr:col>
      <xdr:colOff>1034137</xdr:colOff>
      <xdr:row>7</xdr:row>
      <xdr:rowOff>304801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BDADB81-B21E-4982-B344-EEDB47CEC26F}"/>
            </a:ext>
          </a:extLst>
        </xdr:cNvPr>
        <xdr:cNvGrpSpPr>
          <a:grpSpLocks noChangeAspect="1"/>
        </xdr:cNvGrpSpPr>
      </xdr:nvGrpSpPr>
      <xdr:grpSpPr>
        <a:xfrm>
          <a:off x="428625" y="339974"/>
          <a:ext cx="5009872" cy="2441327"/>
          <a:chOff x="3816283" y="98921"/>
          <a:chExt cx="4460941" cy="236030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E797E80-4DE8-4737-B9BA-705067828045}"/>
              </a:ext>
            </a:extLst>
          </xdr:cNvPr>
          <xdr:cNvGraphicFramePr>
            <a:graphicFrameLocks noChangeAspect="1"/>
          </xdr:cNvGraphicFramePr>
        </xdr:nvGraphicFramePr>
        <xdr:xfrm>
          <a:off x="5124450" y="98921"/>
          <a:ext cx="3152774" cy="19775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5C2924E-4165-4E00-9DEC-87721D39D330}"/>
              </a:ext>
            </a:extLst>
          </xdr:cNvPr>
          <xdr:cNvGraphicFramePr>
            <a:graphicFrameLocks noChangeAspect="1"/>
          </xdr:cNvGraphicFramePr>
        </xdr:nvGraphicFramePr>
        <xdr:xfrm>
          <a:off x="3816283" y="129259"/>
          <a:ext cx="3566556" cy="23299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6</xdr:col>
      <xdr:colOff>1047751</xdr:colOff>
      <xdr:row>3</xdr:row>
      <xdr:rowOff>19050</xdr:rowOff>
    </xdr:from>
    <xdr:to>
      <xdr:col>8</xdr:col>
      <xdr:colOff>533401</xdr:colOff>
      <xdr:row>6</xdr:row>
      <xdr:rowOff>695324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077A542-4F2F-43D2-B79C-AEFAD3E8C662}"/>
            </a:ext>
          </a:extLst>
        </xdr:cNvPr>
        <xdr:cNvGrpSpPr/>
      </xdr:nvGrpSpPr>
      <xdr:grpSpPr>
        <a:xfrm>
          <a:off x="9559291" y="765810"/>
          <a:ext cx="2007870" cy="1567814"/>
          <a:chOff x="8020051" y="361950"/>
          <a:chExt cx="1866900" cy="1485899"/>
        </a:xfrm>
      </xdr:grpSpPr>
      <xdr:sp macro="" textlink="$B$6">
        <xdr:nvSpPr>
          <xdr:cNvPr id="6" name="TextBox 5">
            <a:extLst>
              <a:ext uri="{FF2B5EF4-FFF2-40B4-BE49-F238E27FC236}">
                <a16:creationId xmlns:a16="http://schemas.microsoft.com/office/drawing/2014/main" id="{78271F78-6709-4C16-9BBF-5BDCCB6DD97A}"/>
              </a:ext>
            </a:extLst>
          </xdr:cNvPr>
          <xdr:cNvSpPr txBox="1"/>
        </xdr:nvSpPr>
        <xdr:spPr>
          <a:xfrm>
            <a:off x="8167689" y="723900"/>
            <a:ext cx="1571625" cy="112394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55D38DC-1BA1-4338-82F2-47BAFB5ECC29}" type="TxLink">
              <a:rPr lang="en-US" sz="6600" b="1" i="0" u="none" strike="noStrike">
                <a:solidFill>
                  <a:srgbClr val="FF0000"/>
                </a:solidFill>
                <a:latin typeface="Calibri"/>
                <a:cs typeface="Calibri"/>
              </a:rPr>
              <a:pPr algn="ctr"/>
              <a:t>0</a:t>
            </a:fld>
            <a:endParaRPr lang="en-TT" sz="49600" b="1">
              <a:solidFill>
                <a:srgbClr val="FF0000"/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1EAA441-1E39-4629-B8E5-733C4705ACB4}"/>
              </a:ext>
            </a:extLst>
          </xdr:cNvPr>
          <xdr:cNvSpPr txBox="1"/>
        </xdr:nvSpPr>
        <xdr:spPr>
          <a:xfrm>
            <a:off x="8020051" y="361950"/>
            <a:ext cx="1866900" cy="3714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TT" sz="2800" b="1">
                <a:solidFill>
                  <a:schemeClr val="tx2">
                    <a:lumMod val="50000"/>
                  </a:schemeClr>
                </a:solidFill>
              </a:rPr>
              <a:t>DAYS LEFT:</a:t>
            </a:r>
          </a:p>
        </xdr:txBody>
      </xdr:sp>
    </xdr:grpSp>
    <xdr:clientData/>
  </xdr:twoCellAnchor>
  <xdr:twoCellAnchor>
    <xdr:from>
      <xdr:col>3</xdr:col>
      <xdr:colOff>1556209</xdr:colOff>
      <xdr:row>0</xdr:row>
      <xdr:rowOff>114300</xdr:rowOff>
    </xdr:from>
    <xdr:to>
      <xdr:col>7</xdr:col>
      <xdr:colOff>400050</xdr:colOff>
      <xdr:row>7</xdr:row>
      <xdr:rowOff>485775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C5C197F-43E5-4634-B1F2-487FDB334802}"/>
            </a:ext>
          </a:extLst>
        </xdr:cNvPr>
        <xdr:cNvGrpSpPr>
          <a:grpSpLocks noChangeAspect="1"/>
        </xdr:cNvGrpSpPr>
      </xdr:nvGrpSpPr>
      <xdr:grpSpPr>
        <a:xfrm>
          <a:off x="5960569" y="114300"/>
          <a:ext cx="4162601" cy="2847975"/>
          <a:chOff x="4074046" y="390102"/>
          <a:chExt cx="3548065" cy="21717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1EA74D2D-2AFB-4FAC-9E3A-7CC99D132FAD}"/>
              </a:ext>
            </a:extLst>
          </xdr:cNvPr>
          <xdr:cNvGraphicFramePr>
            <a:graphicFrameLocks noChangeAspect="1"/>
          </xdr:cNvGraphicFramePr>
        </xdr:nvGraphicFramePr>
        <xdr:xfrm>
          <a:off x="4074046" y="492941"/>
          <a:ext cx="3462337" cy="16787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D42F706D-EF22-40FE-A2D0-657CBF0C4F59}"/>
              </a:ext>
            </a:extLst>
          </xdr:cNvPr>
          <xdr:cNvGraphicFramePr>
            <a:graphicFrameLocks noChangeAspect="1"/>
          </xdr:cNvGraphicFramePr>
        </xdr:nvGraphicFramePr>
        <xdr:xfrm>
          <a:off x="4159773" y="390102"/>
          <a:ext cx="3462338" cy="2171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3</xdr:col>
      <xdr:colOff>828676</xdr:colOff>
      <xdr:row>4</xdr:row>
      <xdr:rowOff>219075</xdr:rowOff>
    </xdr:from>
    <xdr:to>
      <xdr:col>4</xdr:col>
      <xdr:colOff>57151</xdr:colOff>
      <xdr:row>5</xdr:row>
      <xdr:rowOff>323850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2602E02-81AD-4440-846A-949932F66EE5}"/>
            </a:ext>
          </a:extLst>
        </xdr:cNvPr>
        <xdr:cNvGrpSpPr/>
      </xdr:nvGrpSpPr>
      <xdr:grpSpPr>
        <a:xfrm>
          <a:off x="5233036" y="1240155"/>
          <a:ext cx="1194435" cy="379095"/>
          <a:chOff x="4152901" y="733425"/>
          <a:chExt cx="1143000" cy="847725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4D5E3D8-EAC5-40A4-B360-B0A946E0D6F3}"/>
              </a:ext>
            </a:extLst>
          </xdr:cNvPr>
          <xdr:cNvSpPr txBox="1"/>
        </xdr:nvSpPr>
        <xdr:spPr>
          <a:xfrm>
            <a:off x="4438651" y="733425"/>
            <a:ext cx="857250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>
                <a:solidFill>
                  <a:schemeClr val="accent2"/>
                </a:solidFill>
              </a:rPr>
              <a:t>Settled</a:t>
            </a:r>
            <a:r>
              <a:rPr lang="en-US" sz="1200">
                <a:solidFill>
                  <a:schemeClr val="accent1"/>
                </a:solidFill>
              </a:rPr>
              <a:t> 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7BFBB206-4A32-4E2F-ABCE-5B4A5F8C6AA6}"/>
              </a:ext>
            </a:extLst>
          </xdr:cNvPr>
          <xdr:cNvSpPr txBox="1"/>
        </xdr:nvSpPr>
        <xdr:spPr>
          <a:xfrm>
            <a:off x="4438651" y="1028700"/>
            <a:ext cx="847724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>
                <a:solidFill>
                  <a:schemeClr val="accent1"/>
                </a:solidFill>
              </a:rPr>
              <a:t>Submitted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FBBDBFE-3B04-4534-920C-2FB40F589308}"/>
              </a:ext>
            </a:extLst>
          </xdr:cNvPr>
          <xdr:cNvSpPr txBox="1"/>
        </xdr:nvSpPr>
        <xdr:spPr>
          <a:xfrm>
            <a:off x="4438650" y="1323975"/>
            <a:ext cx="847725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>
                <a:solidFill>
                  <a:schemeClr val="bg2">
                    <a:lumMod val="75000"/>
                  </a:schemeClr>
                </a:solidFill>
              </a:rPr>
              <a:t>Remaining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64F347D-CDB4-4077-B8C2-129DFCEE21C9}"/>
              </a:ext>
            </a:extLst>
          </xdr:cNvPr>
          <xdr:cNvSpPr txBox="1"/>
        </xdr:nvSpPr>
        <xdr:spPr>
          <a:xfrm>
            <a:off x="4152901" y="733425"/>
            <a:ext cx="304800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4000">
                <a:solidFill>
                  <a:schemeClr val="accent2"/>
                </a:solidFill>
              </a:rPr>
              <a:t>▪</a:t>
            </a:r>
            <a:endParaRPr lang="en-US" sz="1200">
              <a:solidFill>
                <a:schemeClr val="accent2"/>
              </a:solidFill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1AF46CF-EEAF-434B-BA7E-279053FE7C9C}"/>
              </a:ext>
            </a:extLst>
          </xdr:cNvPr>
          <xdr:cNvSpPr txBox="1"/>
        </xdr:nvSpPr>
        <xdr:spPr>
          <a:xfrm>
            <a:off x="4152901" y="1028700"/>
            <a:ext cx="304799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4000">
                <a:solidFill>
                  <a:schemeClr val="accent1"/>
                </a:solidFill>
              </a:rPr>
              <a:t>▪</a:t>
            </a:r>
            <a:endParaRPr lang="en-US" sz="1200">
              <a:solidFill>
                <a:schemeClr val="accent1"/>
              </a:solidFill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3935C03-5A2C-44D4-A519-B3E7C3D23C0B}"/>
              </a:ext>
            </a:extLst>
          </xdr:cNvPr>
          <xdr:cNvSpPr txBox="1"/>
        </xdr:nvSpPr>
        <xdr:spPr>
          <a:xfrm>
            <a:off x="4152901" y="1323975"/>
            <a:ext cx="304800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4000">
                <a:solidFill>
                  <a:schemeClr val="bg2">
                    <a:lumMod val="75000"/>
                  </a:schemeClr>
                </a:solidFill>
              </a:rPr>
              <a:t>▪</a:t>
            </a:r>
            <a:endParaRPr lang="en-US" sz="12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571500</xdr:colOff>
      <xdr:row>1</xdr:row>
      <xdr:rowOff>38100</xdr:rowOff>
    </xdr:from>
    <xdr:to>
      <xdr:col>2</xdr:col>
      <xdr:colOff>1819275</xdr:colOff>
      <xdr:row>1</xdr:row>
      <xdr:rowOff>257175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8E927C-931A-4439-B003-B5D52688D629}"/>
            </a:ext>
          </a:extLst>
        </xdr:cNvPr>
        <xdr:cNvSpPr txBox="1"/>
      </xdr:nvSpPr>
      <xdr:spPr>
        <a:xfrm>
          <a:off x="2943225" y="238125"/>
          <a:ext cx="124777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TT" sz="1800" b="1">
              <a:solidFill>
                <a:schemeClr val="accent2"/>
              </a:solidFill>
            </a:rPr>
            <a:t>API Goal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0.28797</cdr:x>
      <cdr:y>0.41068</cdr:y>
    </cdr:from>
    <cdr:to>
      <cdr:x>0.68029</cdr:x>
      <cdr:y>0.65084</cdr:y>
    </cdr:to>
    <cdr:sp macro="" textlink="'Campaign Tracker'!$M$9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987E6A-4726-4DB5-99AA-DDC3A79E2E65}"/>
            </a:ext>
          </a:extLst>
        </cdr:cNvPr>
        <cdr:cNvSpPr txBox="1"/>
      </cdr:nvSpPr>
      <cdr:spPr>
        <a:xfrm xmlns:a="http://schemas.openxmlformats.org/drawingml/2006/main">
          <a:off x="922903" y="843289"/>
          <a:ext cx="1257301" cy="493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1AD2FF0-43F6-4BDE-9A2C-3B941FD8D2A1}" type="TxLink">
            <a:rPr lang="en-US" sz="1200" b="1" i="0" u="none" strike="noStrike">
              <a:solidFill>
                <a:schemeClr val="accent2"/>
              </a:solidFill>
              <a:latin typeface="Calibri"/>
              <a:cs typeface="Calibri"/>
            </a:rPr>
            <a:pPr algn="ctr"/>
            <a:t> $- </a:t>
          </a:fld>
          <a:endParaRPr lang="en-US" sz="14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0.323</cdr:x>
      <cdr:y>0.64072</cdr:y>
    </cdr:from>
    <cdr:to>
      <cdr:x>0.65009</cdr:x>
      <cdr:y>0.7566</cdr:y>
    </cdr:to>
    <cdr:sp macro="" textlink="'Campaign Tracker'!$R$17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83E72A0-1076-4399-930F-284003F7E7B7}"/>
            </a:ext>
          </a:extLst>
        </cdr:cNvPr>
        <cdr:cNvSpPr txBox="1"/>
      </cdr:nvSpPr>
      <cdr:spPr>
        <a:xfrm xmlns:a="http://schemas.openxmlformats.org/drawingml/2006/main">
          <a:off x="1035167" y="1315638"/>
          <a:ext cx="1048263" cy="237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7E104B3-BE52-4B04-81AF-157B73EAF4C7}" type="TxLink">
            <a:rPr lang="en-US" sz="11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ctr"/>
            <a:t> $-   </a:t>
          </a:fld>
          <a:endParaRPr lang="en-US" sz="1400">
            <a:solidFill>
              <a:schemeClr val="bg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0.31132</cdr:x>
      <cdr:y>0.56786</cdr:y>
    </cdr:from>
    <cdr:to>
      <cdr:x>0.66178</cdr:x>
      <cdr:y>0.66837</cdr:y>
    </cdr:to>
    <cdr:sp macro="" textlink="'Campaign Tracker'!$S$17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08AACBF-99E0-4D29-A4F3-212FF0CE2C69}"/>
            </a:ext>
          </a:extLst>
        </cdr:cNvPr>
        <cdr:cNvSpPr txBox="1"/>
      </cdr:nvSpPr>
      <cdr:spPr>
        <a:xfrm xmlns:a="http://schemas.openxmlformats.org/drawingml/2006/main">
          <a:off x="997734" y="1166028"/>
          <a:ext cx="1123160" cy="2063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F02FEE0-C0C3-485B-B6EB-6C0F30C43DFA}" type="TxLink">
            <a:rPr lang="en-US" sz="1200" b="0" i="0" u="none" strike="noStrike">
              <a:solidFill>
                <a:schemeClr val="accent1"/>
              </a:solidFill>
              <a:latin typeface="Calibri"/>
              <a:cs typeface="Calibri"/>
            </a:rPr>
            <a:pPr algn="ctr"/>
            <a:t> $-   </a:t>
          </a:fld>
          <a:endParaRPr lang="en-US" sz="1800">
            <a:solidFill>
              <a:schemeClr val="accent1"/>
            </a:solidFill>
          </a:endParaRPr>
        </a:p>
      </cdr:txBody>
    </cdr:sp>
  </cdr:relSizeAnchor>
  <cdr:relSizeAnchor xmlns:cdr="http://schemas.openxmlformats.org/drawingml/2006/chartDrawing">
    <cdr:from>
      <cdr:x>0.33089</cdr:x>
      <cdr:y>0.28914</cdr:y>
    </cdr:from>
    <cdr:to>
      <cdr:x>0.72321</cdr:x>
      <cdr:y>0.5293</cdr:y>
    </cdr:to>
    <cdr:sp macro="" textlink="'Campaign Tracker'!$P$17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275C267-744A-487E-ADC1-292569A79B6B}"/>
            </a:ext>
          </a:extLst>
        </cdr:cNvPr>
        <cdr:cNvSpPr txBox="1"/>
      </cdr:nvSpPr>
      <cdr:spPr>
        <a:xfrm xmlns:a="http://schemas.openxmlformats.org/drawingml/2006/main">
          <a:off x="1060450" y="593725"/>
          <a:ext cx="1257301" cy="493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390E6C7-860A-4338-A543-3D3C0E066BDB}" type="TxLink">
            <a:rPr lang="en-US" sz="2400" b="1" i="0" u="none" strike="noStrike">
              <a:solidFill>
                <a:schemeClr val="accent2"/>
              </a:solidFill>
              <a:latin typeface="Calibri"/>
              <a:cs typeface="Calibri"/>
            </a:rPr>
            <a:pPr algn="ctr"/>
            <a:t>0%</a:t>
          </a:fld>
          <a:endParaRPr lang="en-US" sz="2800" b="1">
            <a:solidFill>
              <a:schemeClr val="accent2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0.38506</cdr:x>
      <cdr:y>0.31327</cdr:y>
    </cdr:from>
    <cdr:to>
      <cdr:x>0.641</cdr:x>
      <cdr:y>0.51814</cdr:y>
    </cdr:to>
    <cdr:sp macro="" textlink="'Campaign Tracker'!$P$1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987E6A-4726-4DB5-99AA-DDC3A79E2E65}"/>
            </a:ext>
          </a:extLst>
        </cdr:cNvPr>
        <cdr:cNvSpPr txBox="1"/>
      </cdr:nvSpPr>
      <cdr:spPr>
        <a:xfrm xmlns:a="http://schemas.openxmlformats.org/drawingml/2006/main">
          <a:off x="1312173" y="670689"/>
          <a:ext cx="872158" cy="4386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422B5B8-7419-41FF-8CF8-84548EF4EC48}" type="TxLink">
            <a:rPr lang="en-US" sz="2400" b="1" i="0" u="none" strike="noStrike">
              <a:solidFill>
                <a:schemeClr val="accent2"/>
              </a:solidFill>
              <a:latin typeface="Calibri"/>
              <a:cs typeface="Calibri"/>
            </a:rPr>
            <a:pPr algn="ctr"/>
            <a:t>0%</a:t>
          </a:fld>
          <a:endParaRPr lang="en-US" sz="54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0.3516</cdr:x>
      <cdr:y>0.47592</cdr:y>
    </cdr:from>
    <cdr:to>
      <cdr:x>0.63663</cdr:x>
      <cdr:y>0.5918</cdr:y>
    </cdr:to>
    <cdr:sp macro="" textlink="'Campaign Tracker'!$L$9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519411-6F99-4B4D-8C2C-8F9E2F977371}"/>
            </a:ext>
          </a:extLst>
        </cdr:cNvPr>
        <cdr:cNvSpPr txBox="1"/>
      </cdr:nvSpPr>
      <cdr:spPr>
        <a:xfrm xmlns:a="http://schemas.openxmlformats.org/drawingml/2006/main">
          <a:off x="1217375" y="1033556"/>
          <a:ext cx="986870" cy="251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C409AB2-BC12-4635-B7B3-B21AA551CE43}" type="TxLink">
            <a:rPr lang="en-US" sz="1600" b="0" i="0" u="none" strike="noStrike">
              <a:solidFill>
                <a:schemeClr val="accent2"/>
              </a:solidFill>
              <a:latin typeface="Calibri"/>
              <a:cs typeface="Calibri"/>
            </a:rPr>
            <a:pPr algn="ctr"/>
            <a:t>0</a:t>
          </a:fld>
          <a:endParaRPr lang="en-US" sz="18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0.35569</cdr:x>
      <cdr:y>0.63519</cdr:y>
    </cdr:from>
    <cdr:to>
      <cdr:x>0.64071</cdr:x>
      <cdr:y>0.75107</cdr:y>
    </cdr:to>
    <cdr:sp macro="" textlink="'Campaign Tracker'!$R$18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83E72A0-1076-4399-930F-284003F7E7B7}"/>
            </a:ext>
          </a:extLst>
        </cdr:cNvPr>
        <cdr:cNvSpPr txBox="1"/>
      </cdr:nvSpPr>
      <cdr:spPr>
        <a:xfrm xmlns:a="http://schemas.openxmlformats.org/drawingml/2006/main">
          <a:off x="1231505" y="1379442"/>
          <a:ext cx="986835" cy="2516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0E3F12C-0B89-4494-A08D-B4B3683E85DE}" type="TxLink">
            <a:rPr lang="en-US" sz="12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ctr"/>
            <a:t>0</a:t>
          </a:fld>
          <a:endParaRPr lang="en-US" sz="1400">
            <a:solidFill>
              <a:schemeClr val="bg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0.40677</cdr:x>
      <cdr:y>0.57196</cdr:y>
    </cdr:from>
    <cdr:to>
      <cdr:x>0.58531</cdr:x>
      <cdr:y>0.66495</cdr:y>
    </cdr:to>
    <cdr:sp macro="" textlink="'Campaign Tracker'!$S$18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08AACBF-99E0-4D29-A4F3-212FF0CE2C69}"/>
            </a:ext>
          </a:extLst>
        </cdr:cNvPr>
        <cdr:cNvSpPr txBox="1"/>
      </cdr:nvSpPr>
      <cdr:spPr>
        <a:xfrm xmlns:a="http://schemas.openxmlformats.org/drawingml/2006/main">
          <a:off x="1408361" y="1242130"/>
          <a:ext cx="618166" cy="201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9853DB4-90D4-48E1-A9AD-802C80CB798C}" type="TxLink">
            <a:rPr lang="en-US" sz="1200" b="0" i="0" u="none" strike="noStrike">
              <a:solidFill>
                <a:schemeClr val="accent1"/>
              </a:solidFill>
              <a:latin typeface="Calibri"/>
              <a:cs typeface="Calibri"/>
            </a:rPr>
            <a:pPr algn="ctr"/>
            <a:t>0</a:t>
          </a:fld>
          <a:endParaRPr lang="en-US" sz="1600">
            <a:solidFill>
              <a:schemeClr val="accent1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1038225</xdr:colOff>
      <xdr:row>6</xdr:row>
      <xdr:rowOff>190500</xdr:rowOff>
    </xdr:from>
    <xdr:to>
      <xdr:col>8</xdr:col>
      <xdr:colOff>714375</xdr:colOff>
      <xdr:row>8</xdr:row>
      <xdr:rowOff>190500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E03575B-6DA7-4040-957E-91756F9D5CF2}"/>
            </a:ext>
          </a:extLst>
        </xdr:cNvPr>
        <xdr:cNvSpPr/>
      </xdr:nvSpPr>
      <xdr:spPr>
        <a:xfrm>
          <a:off x="4686300" y="2743200"/>
          <a:ext cx="1371600" cy="5524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TT" sz="1100"/>
        </a:p>
      </xdr:txBody>
    </xdr:sp>
    <xdr:clientData/>
  </xdr:twoCellAnchor>
  <xdr:twoCellAnchor>
    <xdr:from>
      <xdr:col>17</xdr:col>
      <xdr:colOff>371476</xdr:colOff>
      <xdr:row>7</xdr:row>
      <xdr:rowOff>66673</xdr:rowOff>
    </xdr:from>
    <xdr:to>
      <xdr:col>20</xdr:col>
      <xdr:colOff>9526</xdr:colOff>
      <xdr:row>16</xdr:row>
      <xdr:rowOff>104774</xdr:rowOff>
    </xdr:to>
    <xdr:sp macro="" textlink="">
      <xdr:nvSpPr>
        <xdr:cNvPr id="3" name="Arrow: Bent-Up 2">
          <a:extLst>
            <a:ext uri="{FF2B5EF4-FFF2-40B4-BE49-F238E27FC236}">
              <a16:creationId xmlns:a16="http://schemas.microsoft.com/office/drawing/2014/main" id="{3630562C-6516-4975-AED2-A748FE568E2A}"/>
            </a:ext>
          </a:extLst>
        </xdr:cNvPr>
        <xdr:cNvSpPr/>
      </xdr:nvSpPr>
      <xdr:spPr>
        <a:xfrm flipV="1">
          <a:off x="11753851" y="2895598"/>
          <a:ext cx="1466850" cy="2495551"/>
        </a:xfrm>
        <a:prstGeom prst="bentUpArrow">
          <a:avLst>
            <a:gd name="adj1" fmla="val 18506"/>
            <a:gd name="adj2" fmla="val 28889"/>
            <a:gd name="adj3" fmla="val 29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T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119D05-AAB6-4CA3-AEFA-86D4AE1AA8BB}" name="Table13" displayName="Table13" ref="A8:J158" totalsRowShown="0" headerRowDxfId="121" tableBorderDxfId="120">
  <autoFilter ref="A8:J158" xr:uid="{B158741F-5AE2-47BC-BCCF-CC5296505C05}"/>
  <tableColumns count="10">
    <tableColumn id="1" xr3:uid="{00B80270-D349-4688-91E2-0A711D9F322D}" name="Application Count" dataDxfId="119"/>
    <tableColumn id="2" xr3:uid="{4DAD8A77-4FEA-4AE7-B30F-D5B35181A7AD}" name="Policy Number " dataDxfId="118"/>
    <tableColumn id="3" xr3:uid="{81F82BD4-DE05-49D7-A0AF-7D6CC310D9A7}" name="Owner Name" dataDxfId="117"/>
    <tableColumn id="10" xr3:uid="{7A19F89F-F492-40EA-8AF6-6C28953AA691}" name="Insured Name" dataDxfId="116"/>
    <tableColumn id="4" xr3:uid="{2E5B78CD-A532-4798-86E6-3462DD7BC569}" name="Premium Paid" dataDxfId="115"/>
    <tableColumn id="5" xr3:uid="{C44C3617-0BCC-448B-BEF6-BC5FFC0255C7}" name="Payment Frequency?_x000a_(Select Dropdown)" dataDxfId="114"/>
    <tableColumn id="6" xr3:uid="{B26EC658-B8DB-466E-8B5E-C049E75B02FE}" name=" API (Submitted)" dataDxfId="113">
      <calculatedColumnFormula>IF(ISBLANK(E9),"",IF(F9=$O$11,E9*$P$11,IF(F9=$O$12,E9*$P$12,IF(F9=$O$13,E9*$P$13,IF(F9=$O$14,E9*$P$14,"")))))</calculatedColumnFormula>
    </tableColumn>
    <tableColumn id="7" xr3:uid="{D5C88CC4-09D2-49FE-923C-D7A52A65BBE5}" name="Running Total API (Submitted)" dataDxfId="112">
      <calculatedColumnFormula>IF(G9="","",SUM($G$9:G9))</calculatedColumnFormula>
    </tableColumn>
    <tableColumn id="8" xr3:uid="{AA811821-6CD4-4C28-BB46-17822B7D4011}" name="Date Submitted_x000a_dd/mm/yyyy" dataDxfId="111"/>
    <tableColumn id="9" xr3:uid="{FA01527B-38AC-43F1-ADFD-E620DDC57625}" name="Applications Settled?_x000a_(Select Dropdown)" dataDxfId="1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4C5CF-E854-4457-A3FF-773BCB6609E5}" name="Table1" displayName="Table1" ref="D10:U36" totalsRowShown="0" headerRowDxfId="109" dataDxfId="108">
  <autoFilter ref="D10:U36" xr:uid="{6214C5CF-E854-4457-A3FF-773BCB6609E5}"/>
  <tableColumns count="18">
    <tableColumn id="1" xr3:uid="{CED4A960-D674-4C2A-8CBE-690A84B29FEE}" name="Client Name" dataDxfId="107"/>
    <tableColumn id="2" xr3:uid="{60727747-298A-480F-AF72-84C185BA5CE8}" name="Contact #" dataDxfId="106"/>
    <tableColumn id="3" xr3:uid="{43338139-69B8-447A-9E9E-FC1B92497AD4}" name="Term " dataDxfId="105"/>
    <tableColumn id="4" xr3:uid="{54DBBF55-C749-453C-BBE0-E03F9FE8DCFF}" name="Whole life" dataDxfId="104"/>
    <tableColumn id="5" xr3:uid="{41A5334F-916F-4BF3-B6C3-D3D1B2B98CEC}" name="Endowment" dataDxfId="103"/>
    <tableColumn id="6" xr3:uid="{5D62D9B3-2D4C-4DEB-847B-42C4D37201F1}" name="Cash Builder" dataDxfId="102"/>
    <tableColumn id="7" xr3:uid="{6DD8529D-9D1B-4565-B83F-F6D57650DE42}" name="Gold Spoon" dataDxfId="101"/>
    <tableColumn id="8" xr3:uid="{D322919C-CBF1-480F-85A2-99100ED68111}" name="Reg Annuity" dataDxfId="100"/>
    <tableColumn id="9" xr3:uid="{182A658D-15C2-4606-B49C-527320A57A12}" name="Unreg Annuity" dataDxfId="99"/>
    <tableColumn id="10" xr3:uid="{B21219EA-B01F-4462-9C28-40B54673BDC4}" name="     Disability  Income" dataDxfId="98"/>
    <tableColumn id="11" xr3:uid="{278A97A4-D7A1-4203-9375-4F57550B1DB0}" name="LifeSpan" dataDxfId="97"/>
    <tableColumn id="12" xr3:uid="{ACA55749-4E70-42B9-9ABD-36CE4E3569F8}" name="    Individual Health" dataDxfId="96"/>
    <tableColumn id="13" xr3:uid="{62863A43-6C32-4539-BBF5-847554882CAC}" name="Surgical" dataDxfId="95"/>
    <tableColumn id="14" xr3:uid="{59175AAB-AA50-495C-B056-BDB5A9BC7D5A}" name="    Personal Accident" dataDxfId="94"/>
    <tableColumn id="15" xr3:uid="{7518A524-F9A3-469C-854C-54B340F35B5C}" name="Motor" dataDxfId="93"/>
    <tableColumn id="16" xr3:uid="{D18DB457-1787-46E2-A045-BC1412BEA8CD}" name="Property" dataDxfId="92"/>
    <tableColumn id="17" xr3:uid="{D70E2737-6A01-45B2-8009-5E3FBA810EF0}" name="Mortgage" dataDxfId="91"/>
    <tableColumn id="18" xr3:uid="{13BC8A77-F150-410D-9337-BA6F4A483D12}" name="Investment" dataDxfId="9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A8DD54-DB5F-41E8-8D4C-90DC0A1E2080}" name="Table3" displayName="Table3" ref="B12:AK262" totalsRowShown="0" headerRowDxfId="89" dataDxfId="87" headerRowBorderDxfId="88">
  <autoFilter ref="B12:AK262" xr:uid="{01A8DD54-DB5F-41E8-8D4C-90DC0A1E2080}"/>
  <tableColumns count="36">
    <tableColumn id="1" xr3:uid="{4578A403-AD1F-4B11-AE0D-21A95F58B7FA}" name="Call Status" dataDxfId="86"/>
    <tableColumn id="2" xr3:uid="{6AC2707F-7579-4929-8947-1FB332092BCD}" name="Prospect Name" dataDxfId="85"/>
    <tableColumn id="38" xr3:uid="{EB0257FC-9CA0-4D10-BDA1-CF71FEAD1599}" name="Contact #" dataDxfId="84"/>
    <tableColumn id="37" xr3:uid="{252C07CF-5652-44BB-A8A3-069C99C89804}" name="Number of Attempts to contact" dataDxfId="83"/>
    <tableColumn id="3" xr3:uid="{ABA3AD0B-C632-46D5-8F37-5C981537A064}" name="Source type" dataDxfId="82"/>
    <tableColumn id="4" xr3:uid="{0F22AC92-73C2-40C7-BF2C-0F6F196F1542}" name="Sourced from /_x000a_Referred by" dataDxfId="81"/>
    <tableColumn id="5" xr3:uid="{3A64123F-43FF-46EA-A65E-15149A1B9488}" name="Booked Date &amp; Time" dataDxfId="80"/>
    <tableColumn id="6" xr3:uid="{10AB5001-3A38-4F9A-9BEF-74D13B20E8CC}" name="Current Age" dataDxfId="79"/>
    <tableColumn id="7" xr3:uid="{53307FC4-056C-4C32-AF8F-4757D3E2781B}" name="Gender" dataDxfId="78"/>
    <tableColumn id="8" xr3:uid="{C6C0FC65-D2F8-40D1-B020-F8B27867487D}" name="Occupation" dataDxfId="77"/>
    <tableColumn id="9" xr3:uid="{2D10F290-0D1D-4CD7-9604-AC0C95498963}" name="Estimated Monthly Income" dataDxfId="76"/>
    <tableColumn id="10" xr3:uid="{74780A66-CCDB-43BA-8B12-02BC5D8E2571}" name="Maritial Status" dataDxfId="75"/>
    <tableColumn id="11" xr3:uid="{7877C33D-A4BB-47BD-B467-527278785BD7}" name="Spouse works?" dataDxfId="74"/>
    <tableColumn id="12" xr3:uid="{9DCC01E2-50B1-43DB-AE29-812A23B07EA2}" name="Is the Decision Maker?" dataDxfId="73"/>
    <tableColumn id="13" xr3:uid="{293EB784-D5D2-4FB7-A484-5207D09940D2}" name="Number of Children under the age of 25" dataDxfId="72"/>
    <tableColumn id="14" xr3:uid="{259F9A14-E612-41C3-9237-2212A2517B7C}" name="Takes care of extended family?" dataDxfId="71"/>
    <tableColumn id="15" xr3:uid="{35CB3270-7053-417E-9EF6-657011F62F00}" name="Recently Married" dataDxfId="70"/>
    <tableColumn id="16" xr3:uid="{42D7A961-73BE-45A5-9251-F6BBB6C8DAE4}" name="New Baby" dataDxfId="69"/>
    <tableColumn id="17" xr3:uid="{F64A60D1-3B6F-4F72-B3C8-0536462CC7E1}" name="Recent Death or Illness in family" dataDxfId="68"/>
    <tableColumn id="18" xr3:uid="{E21DAF10-9565-441F-BB55-7E4C9DF7C49A}" name="Recent Promotion / Job" dataDxfId="67"/>
    <tableColumn id="19" xr3:uid="{BB3CA084-12D0-42A9-AB13-0ED7EA78A2C0}" name="New Asset Acquired" dataDxfId="66"/>
    <tableColumn id="20" xr3:uid="{6F6EA263-F0E4-4F7C-9B17-421B74B19789}" name="Recently Retired/ Close to Retirement" dataDxfId="65"/>
    <tableColumn id="21" xr3:uid="{4647964A-D17D-4F75-AAD7-7BE3EB4029EB}" name="Business Need" dataDxfId="64"/>
    <tableColumn id="22" xr3:uid="{FA2227DF-0631-4629-AA86-F92A3147BBA5}" name="Life" dataDxfId="63"/>
    <tableColumn id="23" xr3:uid="{B6C4C114-8EAA-4E84-BD30-048F50877842}" name="Critical Illness" dataDxfId="62"/>
    <tableColumn id="24" xr3:uid="{C5547FDE-1E5A-48B3-A5A8-FDE0699E0CFF}" name="Annuity" dataDxfId="61"/>
    <tableColumn id="25" xr3:uid="{1C1971E8-A5FB-4538-9E15-23E65ABF2351}" name="Income Protection / Personal Accident" dataDxfId="60"/>
    <tableColumn id="26" xr3:uid="{1B5B4B93-A559-4681-9F2C-69B5B6982786}" name="Education Planning" dataDxfId="59"/>
    <tableColumn id="27" xr3:uid="{D5E0DB88-4717-43EC-BFCB-AF58123092CA}" name="Savings" dataDxfId="58"/>
    <tableColumn id="28" xr3:uid="{F7102AA7-C83D-4D2A-9118-CD83D4A28A7B}" name="Health / Surgical" dataDxfId="57"/>
    <tableColumn id="29" xr3:uid="{FB4E1292-C9E6-41AB-B47D-D3FEEFE15769}" name="Mortgage" dataDxfId="56"/>
    <tableColumn id="30" xr3:uid="{948C8DC2-C6EE-4708-A3ED-C6DDF166158E}" name="Investments" dataDxfId="55"/>
    <tableColumn id="31" xr3:uid="{64481920-1FD8-4A89-8BD3-07839A6E9AB8}" name="Auto" dataDxfId="54"/>
    <tableColumn id="32" xr3:uid="{D888EDF1-2B85-4596-9EEB-C9D90E181B6E}" name="Property" dataDxfId="53"/>
    <tableColumn id="33" xr3:uid="{BB408A27-5526-48D6-A95F-3DFB8BA90080}" name="Business" dataDxfId="52"/>
    <tableColumn id="34" xr3:uid="{0E2A6BBE-9E2B-4FD4-AE01-9AD178B13658}" name="Notes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BB8AE3-CB08-4B1F-8952-6AE04E726223}" name="Table35" displayName="Table35" ref="B12:W262" totalsRowShown="0" headerRowDxfId="50" dataDxfId="48" headerRowBorderDxfId="49">
  <autoFilter ref="B12:W262" xr:uid="{01A8DD54-DB5F-41E8-8D4C-90DC0A1E2080}"/>
  <tableColumns count="22">
    <tableColumn id="1" xr3:uid="{BE21B4EA-C088-49ED-8DC8-95B266EAF19E}" name="Reinstatement Status" dataDxfId="47"/>
    <tableColumn id="45" xr3:uid="{B779E2D4-C07E-47CE-968D-CB429B3C92FD}" name="Policy Status" dataDxfId="46"/>
    <tableColumn id="47" xr3:uid="{B77F264B-90E7-4905-9652-49372C3D40EB}" name="Lapsed API" dataDxfId="45"/>
    <tableColumn id="2" xr3:uid="{2B8BC69D-E10C-442D-BFB4-023674DE119F}" name="Client Name" dataDxfId="44"/>
    <tableColumn id="38" xr3:uid="{128D9587-47A5-4607-A1EF-5A67433B6F22}" name="Contact #" dataDxfId="43"/>
    <tableColumn id="41" xr3:uid="{9CAAA81A-6F86-4467-8FD4-B0E560F5B3A3}" name="Policy Number" dataDxfId="42"/>
    <tableColumn id="42" xr3:uid="{6C3C94DE-561B-4269-89B5-4CA77095C81E}" name="Type of Policy" dataDxfId="41"/>
    <tableColumn id="44" xr3:uid="{EA158E6B-FAAC-4292-BE34-26F3D2440CE3}" name="Purpose of Policy" dataDxfId="40"/>
    <tableColumn id="43" xr3:uid="{78116978-1DD5-4AAA-AE64-A81E9218936C}" name="Issued Date /Redated Date" dataDxfId="39"/>
    <tableColumn id="48" xr3:uid="{E72C9C06-4CE3-40ED-A44E-A48A69D1891D}" name="Paid to Date" dataDxfId="38"/>
    <tableColumn id="3" xr3:uid="{812CAF4B-6FB3-43FB-84C9-A249E2FC7107}" name="Lapsed Date" dataDxfId="37">
      <calculatedColumnFormula>IF(ISBLANK(Table35[[#This Row],[Paid to Date]]),"",DATE(YEAR(Table35[[#This Row],[Paid to Date]]),MONTH(Table35[[#This Row],[Paid to Date]]),DAY(Table35[[#This Row],[Paid to Date]])+90))</calculatedColumnFormula>
    </tableColumn>
    <tableColumn id="46" xr3:uid="{92443EF7-9230-48D7-9A29-ABE09F894689}" name="Why policy Lapsed?" dataDxfId="36"/>
    <tableColumn id="50" xr3:uid="{F24B7412-7337-46B1-BD34-9A4AC3C602A8}" name="Money on Suspense" dataDxfId="35"/>
    <tableColumn id="51" xr3:uid="{6496D1B8-460E-43C3-86E9-2AAA1931E34B}" name="Money on Outstanding Disbursment" dataDxfId="34"/>
    <tableColumn id="52" xr3:uid="{A59B76B5-7DC5-4564-A035-A6057F91A75D}" name="LPO Deadline Date" dataDxfId="33">
      <calculatedColumnFormula>IFERROR(DATE(YEAR(Table35[[#This Row],[Lapsed Date]]),MONTH(Table35[[#This Row],[Lapsed Date]]),DAY(Table35[[#This Row],[Lapsed Date]])+20),"")</calculatedColumnFormula>
    </tableColumn>
    <tableColumn id="4" xr3:uid="{03423D37-8143-40E5-AF0E-14D9A127683E}" name="Date to fall off 12 month Persistency Record" dataDxfId="32">
      <calculatedColumnFormula>IFERROR(EDATE(Table35[[#This Row],[Lapsed Date]],12),"")</calculatedColumnFormula>
    </tableColumn>
    <tableColumn id="5" xr3:uid="{A5B68E53-FA36-46CA-ADE6-9FB7886B68C6}" name="Date to fall off 24 month Persistency Record" dataDxfId="31">
      <calculatedColumnFormula>IFERROR(EDATE(Table35[[#This Row],[Lapsed Date]],24),"")</calculatedColumnFormula>
    </tableColumn>
    <tableColumn id="49" xr3:uid="{E0C2F9AD-C326-4AB0-B625-3EC5C79C0134}" name="Number of Monthly premiums missing" dataDxfId="30">
      <calculatedColumnFormula>DATEDIF(Table35[[#This Row],[Paid to Date]],TODAY(), "M")</calculatedColumnFormula>
    </tableColumn>
    <tableColumn id="35" xr3:uid="{FDA827E5-64BD-4246-BC1B-D1E03CA4413D}" name="Total Premiums Needed to Reinstate via Direct" dataDxfId="29">
      <calculatedColumnFormula>Table35[[#This Row],[Number of Monthly premiums missing]]*(Table35[[#This Row],[Lapsed API]]/12)</calculatedColumnFormula>
    </tableColumn>
    <tableColumn id="36" xr3:uid="{BDB16877-5CAD-47BC-B4B9-540420803976}" name="Total Premiums needed to Reinstate via Redate/LPO" dataDxfId="28">
      <calculatedColumnFormula>(Table35[[#This Row],[Lapsed API]]/12)*3</calculatedColumnFormula>
    </tableColumn>
    <tableColumn id="40" xr3:uid="{D2AB03D8-51F6-4DE8-B406-7391EA4AF55A}" name="Reinstated Date" dataDxfId="27"/>
    <tableColumn id="34" xr3:uid="{C5A84487-28D8-4141-A903-6ADFB519DD64}" name="Notes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F3B9-A5F7-4567-A33D-AE68A836701D}">
  <sheetPr>
    <tabColor rgb="FFC00000"/>
  </sheetPr>
  <dimension ref="A1:GA158"/>
  <sheetViews>
    <sheetView showGridLines="0" zoomScaleNormal="100" workbookViewId="0">
      <pane ySplit="8" topLeftCell="A9" activePane="bottomLeft" state="frozen"/>
      <selection activeCell="F1" sqref="F1"/>
      <selection pane="bottomLeft" activeCell="E10" sqref="E10"/>
    </sheetView>
  </sheetViews>
  <sheetFormatPr defaultColWidth="0" defaultRowHeight="14.4" x14ac:dyDescent="0.3"/>
  <cols>
    <col min="1" max="1" width="19" style="112" customWidth="1"/>
    <col min="2" max="2" width="16.5546875" customWidth="1"/>
    <col min="3" max="4" width="28.6640625" customWidth="1"/>
    <col min="5" max="5" width="15.6640625" customWidth="1"/>
    <col min="6" max="6" width="15.5546875" style="113" customWidth="1"/>
    <col min="7" max="7" width="17.6640625" style="114" customWidth="1"/>
    <col min="8" max="8" width="19.109375" customWidth="1"/>
    <col min="9" max="9" width="18" customWidth="1"/>
    <col min="10" max="10" width="13.5546875" customWidth="1"/>
    <col min="11" max="11" width="3.5546875" style="115" customWidth="1"/>
    <col min="12" max="12" width="2.109375" style="115" bestFit="1" customWidth="1"/>
    <col min="13" max="13" width="2.109375" style="116" customWidth="1"/>
    <col min="14" max="14" width="7.109375" style="115" customWidth="1"/>
    <col min="15" max="15" width="16.109375" style="115" hidden="1" customWidth="1"/>
    <col min="16" max="16" width="15.33203125" style="115" hidden="1" customWidth="1"/>
    <col min="17" max="17" width="16" style="115" hidden="1" customWidth="1"/>
    <col min="18" max="18" width="12.5546875" style="115" hidden="1" customWidth="1"/>
    <col min="19" max="19" width="18.33203125" style="115" hidden="1" customWidth="1"/>
    <col min="20" max="16384" width="0.6640625" style="117" hidden="1"/>
  </cols>
  <sheetData>
    <row r="1" spans="1:183" ht="15" thickBot="1" x14ac:dyDescent="0.35"/>
    <row r="2" spans="1:183" ht="22.5" customHeight="1" thickTop="1" thickBot="1" x14ac:dyDescent="0.35">
      <c r="A2" s="118" t="s">
        <v>0</v>
      </c>
      <c r="B2" s="119"/>
      <c r="H2" s="272">
        <f ca="1">TODAY()</f>
        <v>46152</v>
      </c>
      <c r="I2" s="272"/>
      <c r="J2" s="189"/>
      <c r="K2" s="190"/>
      <c r="L2" s="190"/>
      <c r="M2" s="190"/>
      <c r="N2" s="190"/>
      <c r="O2" s="189"/>
      <c r="P2" s="189"/>
      <c r="Q2" s="189"/>
      <c r="R2" s="189"/>
      <c r="S2" s="189"/>
    </row>
    <row r="3" spans="1:183" ht="21.75" customHeight="1" thickTop="1" thickBot="1" x14ac:dyDescent="0.35">
      <c r="A3" s="118" t="s">
        <v>1</v>
      </c>
      <c r="B3" s="120"/>
      <c r="H3" s="121"/>
      <c r="I3" s="270"/>
      <c r="J3" s="270"/>
      <c r="K3" s="270"/>
      <c r="L3" s="270"/>
      <c r="M3" s="270"/>
    </row>
    <row r="4" spans="1:183" ht="21.75" customHeight="1" thickTop="1" thickBot="1" x14ac:dyDescent="0.35">
      <c r="A4" s="122" t="s">
        <v>2</v>
      </c>
      <c r="B4" s="123"/>
      <c r="H4" s="121"/>
      <c r="I4" s="124"/>
      <c r="J4" s="124"/>
      <c r="K4" s="124"/>
      <c r="L4" s="125"/>
      <c r="M4" s="125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</row>
    <row r="5" spans="1:183" ht="21.75" customHeight="1" thickTop="1" thickBot="1" x14ac:dyDescent="0.35">
      <c r="A5" s="127" t="s">
        <v>3</v>
      </c>
      <c r="B5" s="128"/>
      <c r="H5" s="121"/>
      <c r="I5" s="124"/>
      <c r="J5" s="124"/>
      <c r="K5" s="124"/>
      <c r="L5" s="125"/>
      <c r="M5" s="125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  <c r="DH5" s="126"/>
      <c r="DI5" s="126"/>
      <c r="DJ5" s="126"/>
      <c r="DK5" s="126"/>
      <c r="DL5" s="126"/>
      <c r="DM5" s="126"/>
      <c r="DN5" s="126"/>
      <c r="DO5" s="126"/>
      <c r="DP5" s="126"/>
      <c r="DQ5" s="126"/>
      <c r="DR5" s="126"/>
      <c r="DS5" s="126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6"/>
      <c r="EH5" s="126"/>
      <c r="EI5" s="126"/>
      <c r="EJ5" s="126"/>
      <c r="EK5" s="126"/>
      <c r="EL5" s="126"/>
      <c r="EM5" s="126"/>
      <c r="EN5" s="126"/>
      <c r="EO5" s="126"/>
      <c r="EP5" s="126"/>
      <c r="EQ5" s="126"/>
      <c r="ER5" s="126"/>
      <c r="ES5" s="126"/>
      <c r="ET5" s="126"/>
      <c r="EU5" s="126"/>
      <c r="EV5" s="126"/>
      <c r="EW5" s="126"/>
      <c r="EX5" s="126"/>
      <c r="EY5" s="126"/>
      <c r="EZ5" s="126"/>
      <c r="FA5" s="126"/>
      <c r="FB5" s="126"/>
      <c r="FC5" s="126"/>
      <c r="FD5" s="126"/>
      <c r="FE5" s="126"/>
      <c r="FF5" s="126"/>
      <c r="FG5" s="126"/>
      <c r="FH5" s="126"/>
      <c r="FI5" s="126"/>
      <c r="FJ5" s="126"/>
      <c r="FK5" s="126"/>
      <c r="FL5" s="126"/>
      <c r="FM5" s="126"/>
      <c r="FN5" s="126"/>
      <c r="FO5" s="126"/>
      <c r="FP5" s="126"/>
      <c r="FQ5" s="126"/>
      <c r="FR5" s="126"/>
      <c r="FS5" s="126"/>
      <c r="FT5" s="126"/>
      <c r="FU5" s="126"/>
      <c r="FV5" s="126"/>
      <c r="FW5" s="126"/>
      <c r="FX5" s="126"/>
      <c r="FY5" s="126"/>
      <c r="FZ5" s="126"/>
      <c r="GA5" s="126"/>
    </row>
    <row r="6" spans="1:183" ht="27" customHeight="1" thickTop="1" x14ac:dyDescent="0.3">
      <c r="A6" s="129">
        <f ca="1">MAX(0,B5-TODAY())</f>
        <v>0</v>
      </c>
      <c r="B6" s="191">
        <f ca="1">IFERROR(DATEDIF(TODAY(),B5,"d"),0)</f>
        <v>0</v>
      </c>
      <c r="H6" s="121"/>
      <c r="M6" s="130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  <c r="DS6" s="126"/>
      <c r="DT6" s="126"/>
      <c r="DU6" s="126"/>
      <c r="DV6" s="126"/>
      <c r="DW6" s="126"/>
      <c r="DX6" s="126"/>
      <c r="DY6" s="126"/>
      <c r="DZ6" s="126"/>
      <c r="EA6" s="126"/>
      <c r="EB6" s="126"/>
      <c r="EC6" s="126"/>
      <c r="ED6" s="126"/>
      <c r="EE6" s="126"/>
      <c r="EF6" s="126"/>
      <c r="EG6" s="126"/>
      <c r="EH6" s="126"/>
      <c r="EI6" s="126"/>
      <c r="EJ6" s="126"/>
      <c r="EK6" s="126"/>
      <c r="EL6" s="126"/>
      <c r="EM6" s="126"/>
      <c r="EN6" s="126"/>
      <c r="EO6" s="126"/>
      <c r="EP6" s="126"/>
      <c r="EQ6" s="126"/>
      <c r="ER6" s="126"/>
      <c r="ES6" s="126"/>
      <c r="ET6" s="126"/>
      <c r="EU6" s="126"/>
      <c r="EV6" s="126"/>
      <c r="EW6" s="126"/>
      <c r="EX6" s="126"/>
      <c r="EY6" s="126"/>
      <c r="EZ6" s="126"/>
      <c r="FA6" s="126"/>
      <c r="FB6" s="126"/>
      <c r="FC6" s="126"/>
      <c r="FD6" s="126"/>
      <c r="FE6" s="126"/>
      <c r="FF6" s="126"/>
      <c r="FG6" s="126"/>
      <c r="FH6" s="126"/>
      <c r="FI6" s="126"/>
      <c r="FJ6" s="126"/>
      <c r="FK6" s="126"/>
      <c r="FL6" s="126"/>
      <c r="FM6" s="126"/>
      <c r="FN6" s="126"/>
      <c r="FO6" s="126"/>
      <c r="FP6" s="126"/>
      <c r="FQ6" s="126"/>
      <c r="FR6" s="126"/>
      <c r="FS6" s="126"/>
      <c r="FT6" s="126"/>
      <c r="FU6" s="126"/>
      <c r="FV6" s="126"/>
      <c r="FW6" s="126"/>
      <c r="FX6" s="126"/>
      <c r="FY6" s="126"/>
      <c r="FZ6" s="126"/>
      <c r="GA6" s="126"/>
    </row>
    <row r="7" spans="1:183" s="135" customFormat="1" ht="66" customHeight="1" x14ac:dyDescent="0.3">
      <c r="A7" s="271"/>
      <c r="B7" s="271"/>
      <c r="C7" s="271"/>
      <c r="D7" s="271"/>
      <c r="E7" s="271"/>
      <c r="F7" s="271"/>
      <c r="G7" s="271"/>
      <c r="H7" s="271"/>
      <c r="I7" s="271"/>
      <c r="J7" s="271"/>
      <c r="K7" s="131"/>
      <c r="L7" s="132"/>
      <c r="M7" s="133"/>
      <c r="N7" s="132"/>
      <c r="O7" s="132"/>
      <c r="P7" s="132"/>
      <c r="Q7" s="132"/>
      <c r="R7" s="132"/>
      <c r="S7" s="132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4"/>
      <c r="CK7" s="134"/>
      <c r="CL7" s="134"/>
      <c r="CM7" s="134"/>
      <c r="CN7" s="134"/>
      <c r="CO7" s="134"/>
      <c r="CP7" s="134"/>
      <c r="CQ7" s="134"/>
      <c r="CR7" s="134"/>
      <c r="CS7" s="134"/>
      <c r="CT7" s="134"/>
      <c r="CU7" s="134"/>
      <c r="CV7" s="134"/>
      <c r="CW7" s="134"/>
      <c r="CX7" s="134"/>
      <c r="CY7" s="134"/>
      <c r="CZ7" s="134"/>
      <c r="DA7" s="134"/>
      <c r="DB7" s="134"/>
      <c r="DC7" s="134"/>
      <c r="DD7" s="134"/>
      <c r="DE7" s="134"/>
      <c r="DF7" s="134"/>
      <c r="DG7" s="134"/>
      <c r="DH7" s="134"/>
      <c r="DI7" s="134"/>
      <c r="DJ7" s="134"/>
      <c r="DK7" s="134"/>
      <c r="DL7" s="134"/>
      <c r="DM7" s="134"/>
      <c r="DN7" s="134"/>
      <c r="DO7" s="134"/>
      <c r="DP7" s="134"/>
      <c r="DQ7" s="134"/>
      <c r="DR7" s="134"/>
      <c r="DS7" s="134"/>
      <c r="DT7" s="134"/>
      <c r="DU7" s="134"/>
      <c r="DV7" s="134"/>
      <c r="DW7" s="134"/>
      <c r="DX7" s="134"/>
      <c r="DY7" s="134"/>
      <c r="DZ7" s="134"/>
      <c r="EA7" s="134"/>
      <c r="EB7" s="134"/>
      <c r="EC7" s="134"/>
      <c r="ED7" s="134"/>
      <c r="EE7" s="134"/>
      <c r="EF7" s="134"/>
      <c r="EG7" s="134"/>
      <c r="EH7" s="134"/>
      <c r="EI7" s="134"/>
      <c r="EJ7" s="134"/>
      <c r="EK7" s="134"/>
      <c r="EL7" s="134"/>
      <c r="EM7" s="134"/>
      <c r="EN7" s="134"/>
      <c r="EO7" s="134"/>
      <c r="EP7" s="134"/>
      <c r="EQ7" s="134"/>
      <c r="ER7" s="134"/>
      <c r="ES7" s="134"/>
      <c r="ET7" s="134"/>
      <c r="EU7" s="134"/>
      <c r="EV7" s="134"/>
      <c r="EW7" s="134"/>
      <c r="EX7" s="134"/>
      <c r="EY7" s="134"/>
      <c r="EZ7" s="134"/>
      <c r="FA7" s="134"/>
      <c r="FB7" s="134"/>
      <c r="FC7" s="134"/>
      <c r="FD7" s="134"/>
      <c r="FE7" s="134"/>
      <c r="FF7" s="134"/>
      <c r="FG7" s="134"/>
      <c r="FH7" s="134"/>
      <c r="FI7" s="134"/>
      <c r="FJ7" s="134"/>
      <c r="FK7" s="134"/>
      <c r="FL7" s="134"/>
      <c r="FM7" s="134"/>
      <c r="FN7" s="134"/>
      <c r="FO7" s="134"/>
      <c r="FP7" s="134"/>
      <c r="FQ7" s="134"/>
      <c r="FR7" s="134"/>
      <c r="FS7" s="134"/>
      <c r="FT7" s="134"/>
      <c r="FU7" s="134"/>
      <c r="FV7" s="134"/>
      <c r="FW7" s="134"/>
      <c r="FX7" s="134"/>
      <c r="FY7" s="134"/>
      <c r="FZ7" s="134"/>
      <c r="GA7" s="134"/>
    </row>
    <row r="8" spans="1:183" s="135" customFormat="1" ht="46.5" customHeight="1" x14ac:dyDescent="0.3">
      <c r="A8" s="136" t="s">
        <v>4</v>
      </c>
      <c r="B8" s="137" t="s">
        <v>5</v>
      </c>
      <c r="C8" s="137" t="s">
        <v>6</v>
      </c>
      <c r="D8" s="137" t="s">
        <v>7</v>
      </c>
      <c r="E8" s="137" t="s">
        <v>8</v>
      </c>
      <c r="F8" s="138" t="s">
        <v>9</v>
      </c>
      <c r="G8" s="138" t="s">
        <v>10</v>
      </c>
      <c r="H8" s="138" t="s">
        <v>11</v>
      </c>
      <c r="I8" s="138" t="s">
        <v>12</v>
      </c>
      <c r="J8" s="139" t="s">
        <v>13</v>
      </c>
      <c r="K8" s="140"/>
      <c r="L8" s="140" t="s">
        <v>14</v>
      </c>
      <c r="M8" s="140" t="s">
        <v>15</v>
      </c>
      <c r="N8" s="141"/>
      <c r="O8" s="141"/>
      <c r="P8" s="141"/>
      <c r="Q8" s="141"/>
      <c r="R8" s="141"/>
      <c r="S8" s="141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134"/>
      <c r="DO8" s="134"/>
      <c r="DP8" s="134"/>
      <c r="DQ8" s="134"/>
      <c r="DR8" s="134"/>
      <c r="DS8" s="134"/>
      <c r="DT8" s="134"/>
      <c r="DU8" s="134"/>
      <c r="DV8" s="134"/>
      <c r="DW8" s="134"/>
      <c r="DX8" s="134"/>
      <c r="DY8" s="134"/>
      <c r="DZ8" s="134"/>
      <c r="EA8" s="134"/>
      <c r="EB8" s="134"/>
      <c r="EC8" s="134"/>
      <c r="ED8" s="134"/>
      <c r="EE8" s="134"/>
      <c r="EF8" s="134"/>
      <c r="EG8" s="134"/>
      <c r="EH8" s="134"/>
      <c r="EI8" s="134"/>
      <c r="EJ8" s="134"/>
      <c r="EK8" s="134"/>
      <c r="EL8" s="134"/>
      <c r="EM8" s="134"/>
      <c r="EN8" s="134"/>
      <c r="EO8" s="134"/>
      <c r="EP8" s="134"/>
      <c r="EQ8" s="134"/>
      <c r="ER8" s="134"/>
      <c r="ES8" s="134"/>
      <c r="ET8" s="134"/>
      <c r="EU8" s="134"/>
      <c r="EV8" s="134"/>
      <c r="EW8" s="134"/>
      <c r="EX8" s="134"/>
      <c r="EY8" s="134"/>
      <c r="EZ8" s="134"/>
      <c r="FA8" s="134"/>
      <c r="FB8" s="134"/>
      <c r="FC8" s="134"/>
      <c r="FD8" s="134"/>
      <c r="FE8" s="134"/>
      <c r="FF8" s="134"/>
      <c r="FG8" s="134"/>
      <c r="FH8" s="134"/>
      <c r="FI8" s="134"/>
      <c r="FJ8" s="134"/>
      <c r="FK8" s="134"/>
      <c r="FL8" s="134"/>
      <c r="FM8" s="134"/>
      <c r="FN8" s="134"/>
      <c r="FO8" s="134"/>
      <c r="FP8" s="134"/>
      <c r="FQ8" s="134"/>
      <c r="FR8" s="134"/>
      <c r="FS8" s="134"/>
      <c r="FT8" s="134"/>
      <c r="FU8" s="134"/>
      <c r="FV8" s="134"/>
      <c r="FW8" s="134"/>
      <c r="FX8" s="134"/>
      <c r="FY8" s="134"/>
      <c r="FZ8" s="134"/>
      <c r="GA8" s="134"/>
    </row>
    <row r="9" spans="1:183" ht="20.100000000000001" customHeight="1" x14ac:dyDescent="0.3">
      <c r="A9" s="142">
        <v>1</v>
      </c>
      <c r="B9" s="143"/>
      <c r="C9" s="143"/>
      <c r="D9" s="143"/>
      <c r="E9" s="144">
        <v>500</v>
      </c>
      <c r="F9" s="145" t="s">
        <v>16</v>
      </c>
      <c r="G9" s="146">
        <f>IF(ISBLANK(E9),"",IF(F9=$O$11,E9*$P$11,IF(F9=$O$12,E9*$P$12,IF(F9=$O$13,E9*$P$13,IF(F9=$O$14,E9*$P$14,"")))))</f>
        <v>6000</v>
      </c>
      <c r="H9" s="147">
        <f>IF(G9="","",SUM($G$9:G9))</f>
        <v>6000</v>
      </c>
      <c r="I9" s="148"/>
      <c r="J9" s="149" t="s">
        <v>17</v>
      </c>
      <c r="K9" s="141"/>
      <c r="L9" s="140">
        <f>IFERROR(COUNTIF(J9:J158,"Yes"),0)</f>
        <v>0</v>
      </c>
      <c r="M9" s="150">
        <f>SUMIF(J9:J158,"=Yes",G9:G158)</f>
        <v>0</v>
      </c>
      <c r="N9" s="151"/>
      <c r="O9" s="151"/>
      <c r="P9" s="151"/>
      <c r="Q9" s="151"/>
      <c r="R9" s="151"/>
      <c r="S9" s="151"/>
      <c r="T9" s="152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  <c r="CF9" s="126"/>
      <c r="CG9" s="126"/>
      <c r="CH9" s="126"/>
      <c r="CI9" s="126"/>
      <c r="CJ9" s="126"/>
      <c r="CK9" s="126"/>
      <c r="CL9" s="126"/>
      <c r="CM9" s="126"/>
      <c r="CN9" s="126"/>
      <c r="CO9" s="126"/>
      <c r="CP9" s="126"/>
      <c r="CQ9" s="126"/>
      <c r="CR9" s="126"/>
      <c r="CS9" s="126"/>
      <c r="CT9" s="126"/>
      <c r="CU9" s="126"/>
      <c r="CV9" s="126"/>
      <c r="CW9" s="126"/>
      <c r="CX9" s="126"/>
      <c r="CY9" s="126"/>
      <c r="CZ9" s="126"/>
      <c r="DA9" s="126"/>
      <c r="DB9" s="126"/>
      <c r="DC9" s="126"/>
      <c r="DD9" s="126"/>
      <c r="DE9" s="126"/>
      <c r="DF9" s="126"/>
      <c r="DG9" s="126"/>
      <c r="DH9" s="126"/>
      <c r="DI9" s="126"/>
      <c r="DJ9" s="126"/>
      <c r="DK9" s="126"/>
      <c r="DL9" s="126"/>
      <c r="DM9" s="126"/>
      <c r="DN9" s="126"/>
      <c r="DO9" s="126"/>
      <c r="DP9" s="126"/>
      <c r="DQ9" s="126"/>
      <c r="DR9" s="126"/>
      <c r="DS9" s="126"/>
      <c r="DT9" s="126"/>
      <c r="DU9" s="126"/>
      <c r="DV9" s="126"/>
      <c r="DW9" s="126"/>
      <c r="DX9" s="126"/>
      <c r="DY9" s="126"/>
      <c r="DZ9" s="126"/>
      <c r="EA9" s="126"/>
      <c r="EB9" s="126"/>
      <c r="EC9" s="126"/>
      <c r="ED9" s="126"/>
      <c r="EE9" s="126"/>
      <c r="EF9" s="126"/>
      <c r="EG9" s="126"/>
      <c r="EH9" s="126"/>
      <c r="EI9" s="126"/>
      <c r="EJ9" s="126"/>
      <c r="EK9" s="126"/>
      <c r="EL9" s="126"/>
      <c r="EM9" s="126"/>
      <c r="EN9" s="126"/>
      <c r="EO9" s="126"/>
      <c r="EP9" s="126"/>
      <c r="EQ9" s="126"/>
      <c r="ER9" s="126"/>
      <c r="ES9" s="126"/>
      <c r="ET9" s="126"/>
      <c r="EU9" s="126"/>
      <c r="EV9" s="126"/>
      <c r="EW9" s="126"/>
      <c r="EX9" s="126"/>
      <c r="EY9" s="126"/>
      <c r="EZ9" s="126"/>
      <c r="FA9" s="126"/>
      <c r="FB9" s="126"/>
      <c r="FC9" s="126"/>
      <c r="FD9" s="126"/>
      <c r="FE9" s="126"/>
      <c r="FF9" s="126"/>
      <c r="FG9" s="126"/>
      <c r="FH9" s="126"/>
      <c r="FI9" s="126"/>
      <c r="FJ9" s="126"/>
      <c r="FK9" s="126"/>
      <c r="FL9" s="126"/>
      <c r="FM9" s="126"/>
      <c r="FN9" s="126"/>
      <c r="FO9" s="126"/>
      <c r="FP9" s="126"/>
      <c r="FQ9" s="126"/>
      <c r="FR9" s="126"/>
      <c r="FS9" s="126"/>
      <c r="FT9" s="126"/>
      <c r="FU9" s="126"/>
      <c r="FV9" s="126"/>
      <c r="FW9" s="126"/>
      <c r="FX9" s="126"/>
      <c r="FY9" s="126"/>
      <c r="FZ9" s="126"/>
      <c r="GA9" s="126"/>
    </row>
    <row r="10" spans="1:183" ht="20.100000000000001" customHeight="1" x14ac:dyDescent="0.3">
      <c r="A10" s="142">
        <v>2</v>
      </c>
      <c r="B10" s="143"/>
      <c r="C10" s="143"/>
      <c r="D10" s="143"/>
      <c r="E10" s="144"/>
      <c r="F10" s="145"/>
      <c r="G10" s="146"/>
      <c r="H10" s="147"/>
      <c r="I10" s="148"/>
      <c r="J10" s="149"/>
      <c r="K10" s="141"/>
      <c r="L10" s="151"/>
      <c r="M10" s="153"/>
      <c r="N10" s="151"/>
      <c r="O10" s="151" t="s">
        <v>18</v>
      </c>
      <c r="P10" s="151" t="s">
        <v>19</v>
      </c>
      <c r="Q10" s="151"/>
      <c r="R10" s="151"/>
      <c r="S10" s="151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26"/>
      <c r="DL10" s="126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26"/>
      <c r="DZ10" s="126"/>
      <c r="EA10" s="126"/>
      <c r="EB10" s="126"/>
      <c r="EC10" s="126"/>
      <c r="ED10" s="126"/>
      <c r="EE10" s="126"/>
      <c r="EF10" s="126"/>
      <c r="EG10" s="126"/>
      <c r="EH10" s="126"/>
      <c r="EI10" s="126"/>
      <c r="EJ10" s="126"/>
      <c r="EK10" s="126"/>
      <c r="EL10" s="126"/>
      <c r="EM10" s="126"/>
      <c r="EN10" s="126"/>
      <c r="EO10" s="126"/>
      <c r="EP10" s="126"/>
      <c r="EQ10" s="126"/>
      <c r="ER10" s="126"/>
      <c r="ES10" s="126"/>
      <c r="ET10" s="126"/>
      <c r="EU10" s="126"/>
      <c r="EV10" s="126"/>
      <c r="EW10" s="126"/>
      <c r="EX10" s="126"/>
      <c r="EY10" s="126"/>
      <c r="EZ10" s="126"/>
      <c r="FA10" s="126"/>
      <c r="FB10" s="126"/>
      <c r="FC10" s="126"/>
      <c r="FD10" s="126"/>
      <c r="FE10" s="126"/>
      <c r="FF10" s="126"/>
      <c r="FG10" s="126"/>
      <c r="FH10" s="126"/>
      <c r="FI10" s="126"/>
      <c r="FJ10" s="126"/>
      <c r="FK10" s="126"/>
      <c r="FL10" s="126"/>
      <c r="FM10" s="126"/>
      <c r="FN10" s="126"/>
      <c r="FO10" s="126"/>
      <c r="FP10" s="126"/>
      <c r="FQ10" s="126"/>
      <c r="FR10" s="126"/>
      <c r="FS10" s="126"/>
      <c r="FT10" s="126"/>
      <c r="FU10" s="126"/>
      <c r="FV10" s="126"/>
      <c r="FW10" s="126"/>
      <c r="FX10" s="126"/>
      <c r="FY10" s="126"/>
      <c r="FZ10" s="126"/>
      <c r="GA10" s="126"/>
    </row>
    <row r="11" spans="1:183" ht="20.100000000000001" customHeight="1" x14ac:dyDescent="0.3">
      <c r="A11" s="142">
        <v>3</v>
      </c>
      <c r="B11" s="143"/>
      <c r="C11" s="143"/>
      <c r="D11" s="143"/>
      <c r="E11" s="144"/>
      <c r="F11" s="145"/>
      <c r="G11" s="146"/>
      <c r="H11" s="147"/>
      <c r="I11" s="148"/>
      <c r="J11" s="149"/>
      <c r="K11" s="141"/>
      <c r="L11" s="151"/>
      <c r="M11" s="153"/>
      <c r="N11" s="151"/>
      <c r="O11" s="151" t="s">
        <v>16</v>
      </c>
      <c r="P11" s="151">
        <v>12</v>
      </c>
      <c r="Q11" s="151"/>
      <c r="R11" s="151"/>
      <c r="S11" s="151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  <c r="DK11" s="126"/>
      <c r="DL11" s="126"/>
      <c r="DM11" s="126"/>
      <c r="DN11" s="126"/>
      <c r="DO11" s="126"/>
      <c r="DP11" s="126"/>
      <c r="DQ11" s="126"/>
      <c r="DR11" s="126"/>
      <c r="DS11" s="126"/>
      <c r="DT11" s="126"/>
      <c r="DU11" s="126"/>
      <c r="DV11" s="126"/>
      <c r="DW11" s="126"/>
      <c r="DX11" s="126"/>
      <c r="DY11" s="126"/>
      <c r="DZ11" s="126"/>
      <c r="EA11" s="126"/>
      <c r="EB11" s="126"/>
      <c r="EC11" s="126"/>
      <c r="ED11" s="126"/>
      <c r="EE11" s="126"/>
      <c r="EF11" s="126"/>
      <c r="EG11" s="126"/>
      <c r="EH11" s="126"/>
      <c r="EI11" s="126"/>
      <c r="EJ11" s="126"/>
      <c r="EK11" s="126"/>
      <c r="EL11" s="126"/>
      <c r="EM11" s="126"/>
      <c r="EN11" s="126"/>
      <c r="EO11" s="126"/>
      <c r="EP11" s="126"/>
      <c r="EQ11" s="126"/>
      <c r="ER11" s="126"/>
      <c r="ES11" s="126"/>
      <c r="ET11" s="126"/>
      <c r="EU11" s="126"/>
      <c r="EV11" s="126"/>
      <c r="EW11" s="126"/>
      <c r="EX11" s="126"/>
      <c r="EY11" s="126"/>
      <c r="EZ11" s="126"/>
      <c r="FA11" s="126"/>
      <c r="FB11" s="126"/>
      <c r="FC11" s="126"/>
      <c r="FD11" s="126"/>
      <c r="FE11" s="126"/>
      <c r="FF11" s="126"/>
      <c r="FG11" s="126"/>
      <c r="FH11" s="126"/>
      <c r="FI11" s="126"/>
      <c r="FJ11" s="126"/>
      <c r="FK11" s="126"/>
      <c r="FL11" s="126"/>
      <c r="FM11" s="126"/>
      <c r="FN11" s="126"/>
      <c r="FO11" s="126"/>
      <c r="FP11" s="126"/>
      <c r="FQ11" s="126"/>
      <c r="FR11" s="126"/>
      <c r="FS11" s="126"/>
      <c r="FT11" s="126"/>
      <c r="FU11" s="126"/>
      <c r="FV11" s="126"/>
      <c r="FW11" s="126"/>
      <c r="FX11" s="126"/>
      <c r="FY11" s="126"/>
      <c r="FZ11" s="126"/>
      <c r="GA11" s="126"/>
    </row>
    <row r="12" spans="1:183" ht="20.100000000000001" customHeight="1" x14ac:dyDescent="0.3">
      <c r="A12" s="142">
        <v>4</v>
      </c>
      <c r="B12" s="143"/>
      <c r="C12" s="143"/>
      <c r="D12" s="143"/>
      <c r="E12" s="144"/>
      <c r="F12" s="145"/>
      <c r="G12" s="146"/>
      <c r="H12" s="147"/>
      <c r="I12" s="148"/>
      <c r="J12" s="149"/>
      <c r="K12" s="141"/>
      <c r="L12" s="151"/>
      <c r="M12" s="153"/>
      <c r="N12" s="151"/>
      <c r="O12" s="151" t="s">
        <v>20</v>
      </c>
      <c r="P12" s="151">
        <v>4</v>
      </c>
      <c r="Q12" s="151"/>
      <c r="R12" s="151"/>
      <c r="S12" s="151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  <c r="DD12" s="126"/>
      <c r="DE12" s="126"/>
      <c r="DF12" s="126"/>
      <c r="DG12" s="126"/>
      <c r="DH12" s="126"/>
      <c r="DI12" s="126"/>
      <c r="DJ12" s="126"/>
      <c r="DK12" s="126"/>
      <c r="DL12" s="126"/>
      <c r="DM12" s="126"/>
      <c r="DN12" s="126"/>
      <c r="DO12" s="126"/>
      <c r="DP12" s="126"/>
      <c r="DQ12" s="126"/>
      <c r="DR12" s="126"/>
      <c r="DS12" s="126"/>
      <c r="DT12" s="126"/>
      <c r="DU12" s="126"/>
      <c r="DV12" s="126"/>
      <c r="DW12" s="126"/>
      <c r="DX12" s="126"/>
      <c r="DY12" s="126"/>
      <c r="DZ12" s="126"/>
      <c r="EA12" s="126"/>
      <c r="EB12" s="126"/>
      <c r="EC12" s="126"/>
      <c r="ED12" s="126"/>
      <c r="EE12" s="126"/>
      <c r="EF12" s="126"/>
      <c r="EG12" s="126"/>
      <c r="EH12" s="126"/>
      <c r="EI12" s="126"/>
      <c r="EJ12" s="126"/>
      <c r="EK12" s="126"/>
      <c r="EL12" s="126"/>
      <c r="EM12" s="126"/>
      <c r="EN12" s="126"/>
      <c r="EO12" s="126"/>
      <c r="EP12" s="126"/>
      <c r="EQ12" s="126"/>
      <c r="ER12" s="126"/>
      <c r="ES12" s="126"/>
      <c r="ET12" s="126"/>
      <c r="EU12" s="126"/>
      <c r="EV12" s="126"/>
      <c r="EW12" s="126"/>
      <c r="EX12" s="126"/>
      <c r="EY12" s="126"/>
      <c r="EZ12" s="126"/>
      <c r="FA12" s="126"/>
      <c r="FB12" s="126"/>
      <c r="FC12" s="126"/>
      <c r="FD12" s="126"/>
      <c r="FE12" s="126"/>
      <c r="FF12" s="126"/>
      <c r="FG12" s="126"/>
      <c r="FH12" s="126"/>
      <c r="FI12" s="126"/>
      <c r="FJ12" s="126"/>
      <c r="FK12" s="126"/>
      <c r="FL12" s="126"/>
      <c r="FM12" s="126"/>
      <c r="FN12" s="126"/>
      <c r="FO12" s="126"/>
      <c r="FP12" s="126"/>
      <c r="FQ12" s="126"/>
      <c r="FR12" s="126"/>
      <c r="FS12" s="126"/>
      <c r="FT12" s="126"/>
      <c r="FU12" s="126"/>
      <c r="FV12" s="126"/>
      <c r="FW12" s="126"/>
      <c r="FX12" s="126"/>
      <c r="FY12" s="126"/>
      <c r="FZ12" s="126"/>
      <c r="GA12" s="126"/>
    </row>
    <row r="13" spans="1:183" ht="20.100000000000001" customHeight="1" x14ac:dyDescent="0.3">
      <c r="A13" s="142">
        <v>5</v>
      </c>
      <c r="B13" s="143"/>
      <c r="C13" s="143"/>
      <c r="D13" s="143"/>
      <c r="E13" s="144"/>
      <c r="F13" s="145"/>
      <c r="G13" s="146"/>
      <c r="H13" s="147"/>
      <c r="I13" s="148"/>
      <c r="J13" s="149"/>
      <c r="K13" s="141"/>
      <c r="L13" s="151"/>
      <c r="M13" s="153"/>
      <c r="N13" s="151"/>
      <c r="O13" s="151" t="s">
        <v>21</v>
      </c>
      <c r="P13" s="151">
        <v>2</v>
      </c>
      <c r="Q13" s="151"/>
      <c r="R13" s="151"/>
      <c r="S13" s="151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  <c r="DD13" s="126"/>
      <c r="DE13" s="126"/>
      <c r="DF13" s="126"/>
      <c r="DG13" s="126"/>
      <c r="DH13" s="126"/>
      <c r="DI13" s="126"/>
      <c r="DJ13" s="126"/>
      <c r="DK13" s="126"/>
      <c r="DL13" s="126"/>
      <c r="DM13" s="126"/>
      <c r="DN13" s="126"/>
      <c r="DO13" s="126"/>
      <c r="DP13" s="126"/>
      <c r="DQ13" s="126"/>
      <c r="DR13" s="126"/>
      <c r="DS13" s="126"/>
      <c r="DT13" s="126"/>
      <c r="DU13" s="126"/>
      <c r="DV13" s="126"/>
      <c r="DW13" s="126"/>
      <c r="DX13" s="126"/>
      <c r="DY13" s="126"/>
      <c r="DZ13" s="126"/>
      <c r="EA13" s="126"/>
      <c r="EB13" s="126"/>
      <c r="EC13" s="126"/>
      <c r="ED13" s="126"/>
      <c r="EE13" s="126"/>
      <c r="EF13" s="126"/>
      <c r="EG13" s="126"/>
      <c r="EH13" s="126"/>
      <c r="EI13" s="126"/>
      <c r="EJ13" s="126"/>
      <c r="EK13" s="126"/>
      <c r="EL13" s="126"/>
      <c r="EM13" s="126"/>
      <c r="EN13" s="126"/>
      <c r="EO13" s="126"/>
      <c r="EP13" s="126"/>
      <c r="EQ13" s="126"/>
      <c r="ER13" s="126"/>
      <c r="ES13" s="126"/>
      <c r="ET13" s="126"/>
      <c r="EU13" s="126"/>
      <c r="EV13" s="126"/>
      <c r="EW13" s="126"/>
      <c r="EX13" s="126"/>
      <c r="EY13" s="126"/>
      <c r="EZ13" s="126"/>
      <c r="FA13" s="126"/>
      <c r="FB13" s="126"/>
      <c r="FC13" s="126"/>
      <c r="FD13" s="126"/>
      <c r="FE13" s="126"/>
      <c r="FF13" s="126"/>
      <c r="FG13" s="126"/>
      <c r="FH13" s="126"/>
      <c r="FI13" s="126"/>
      <c r="FJ13" s="126"/>
      <c r="FK13" s="126"/>
      <c r="FL13" s="126"/>
      <c r="FM13" s="126"/>
      <c r="FN13" s="126"/>
      <c r="FO13" s="126"/>
      <c r="FP13" s="126"/>
      <c r="FQ13" s="126"/>
      <c r="FR13" s="126"/>
      <c r="FS13" s="126"/>
      <c r="FT13" s="126"/>
      <c r="FU13" s="126"/>
      <c r="FV13" s="126"/>
      <c r="FW13" s="126"/>
      <c r="FX13" s="126"/>
      <c r="FY13" s="126"/>
      <c r="FZ13" s="126"/>
      <c r="GA13" s="126"/>
    </row>
    <row r="14" spans="1:183" ht="20.100000000000001" customHeight="1" x14ac:dyDescent="0.3">
      <c r="A14" s="142">
        <v>6</v>
      </c>
      <c r="B14" s="143"/>
      <c r="C14" s="143"/>
      <c r="D14" s="143"/>
      <c r="E14" s="144"/>
      <c r="F14" s="145"/>
      <c r="G14" s="146"/>
      <c r="H14" s="147"/>
      <c r="I14" s="148"/>
      <c r="J14" s="149"/>
      <c r="K14" s="141"/>
      <c r="L14" s="151"/>
      <c r="M14" s="153"/>
      <c r="N14" s="151"/>
      <c r="O14" s="151" t="s">
        <v>22</v>
      </c>
      <c r="P14" s="151">
        <v>1</v>
      </c>
      <c r="Q14" s="151"/>
      <c r="R14" s="151"/>
      <c r="S14" s="151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  <c r="DD14" s="126"/>
      <c r="DE14" s="126"/>
      <c r="DF14" s="126"/>
      <c r="DG14" s="126"/>
      <c r="DH14" s="126"/>
      <c r="DI14" s="126"/>
      <c r="DJ14" s="126"/>
      <c r="DK14" s="126"/>
      <c r="DL14" s="126"/>
      <c r="DM14" s="126"/>
      <c r="DN14" s="126"/>
      <c r="DO14" s="126"/>
      <c r="DP14" s="126"/>
      <c r="DQ14" s="126"/>
      <c r="DR14" s="126"/>
      <c r="DS14" s="126"/>
      <c r="DT14" s="126"/>
      <c r="DU14" s="126"/>
      <c r="DV14" s="126"/>
      <c r="DW14" s="126"/>
      <c r="DX14" s="126"/>
      <c r="DY14" s="126"/>
      <c r="DZ14" s="126"/>
      <c r="EA14" s="126"/>
      <c r="EB14" s="126"/>
      <c r="EC14" s="126"/>
      <c r="ED14" s="126"/>
      <c r="EE14" s="126"/>
      <c r="EF14" s="126"/>
      <c r="EG14" s="126"/>
      <c r="EH14" s="126"/>
      <c r="EI14" s="126"/>
      <c r="EJ14" s="126"/>
      <c r="EK14" s="126"/>
      <c r="EL14" s="126"/>
      <c r="EM14" s="126"/>
      <c r="EN14" s="126"/>
      <c r="EO14" s="126"/>
      <c r="EP14" s="126"/>
      <c r="EQ14" s="126"/>
      <c r="ER14" s="126"/>
      <c r="ES14" s="126"/>
      <c r="ET14" s="126"/>
      <c r="EU14" s="126"/>
      <c r="EV14" s="126"/>
      <c r="EW14" s="126"/>
      <c r="EX14" s="126"/>
      <c r="EY14" s="126"/>
      <c r="EZ14" s="126"/>
      <c r="FA14" s="126"/>
      <c r="FB14" s="126"/>
      <c r="FC14" s="126"/>
      <c r="FD14" s="126"/>
      <c r="FE14" s="126"/>
      <c r="FF14" s="126"/>
      <c r="FG14" s="126"/>
      <c r="FH14" s="126"/>
      <c r="FI14" s="126"/>
      <c r="FJ14" s="126"/>
      <c r="FK14" s="126"/>
      <c r="FL14" s="126"/>
      <c r="FM14" s="126"/>
      <c r="FN14" s="126"/>
      <c r="FO14" s="126"/>
      <c r="FP14" s="126"/>
      <c r="FQ14" s="126"/>
      <c r="FR14" s="126"/>
      <c r="FS14" s="126"/>
      <c r="FT14" s="126"/>
      <c r="FU14" s="126"/>
      <c r="FV14" s="126"/>
      <c r="FW14" s="126"/>
      <c r="FX14" s="126"/>
      <c r="FY14" s="126"/>
      <c r="FZ14" s="126"/>
      <c r="GA14" s="126"/>
    </row>
    <row r="15" spans="1:183" ht="20.100000000000001" customHeight="1" x14ac:dyDescent="0.3">
      <c r="A15" s="142">
        <v>7</v>
      </c>
      <c r="B15" s="143"/>
      <c r="C15" s="143"/>
      <c r="D15" s="143"/>
      <c r="E15" s="144"/>
      <c r="F15" s="145"/>
      <c r="G15" s="146"/>
      <c r="H15" s="147"/>
      <c r="I15" s="148"/>
      <c r="J15" s="149"/>
      <c r="K15" s="141"/>
      <c r="L15" s="151"/>
      <c r="M15" s="153"/>
      <c r="N15" s="151"/>
      <c r="O15" s="151"/>
      <c r="P15" s="151"/>
      <c r="Q15" s="151"/>
      <c r="R15" s="151"/>
      <c r="S15" s="151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26"/>
      <c r="DZ15" s="126"/>
      <c r="EA15" s="126"/>
      <c r="EB15" s="126"/>
      <c r="EC15" s="126"/>
      <c r="ED15" s="126"/>
      <c r="EE15" s="126"/>
      <c r="EF15" s="126"/>
      <c r="EG15" s="126"/>
      <c r="EH15" s="126"/>
      <c r="EI15" s="126"/>
      <c r="EJ15" s="126"/>
      <c r="EK15" s="126"/>
      <c r="EL15" s="126"/>
      <c r="EM15" s="126"/>
      <c r="EN15" s="126"/>
      <c r="EO15" s="126"/>
      <c r="EP15" s="126"/>
      <c r="EQ15" s="126"/>
      <c r="ER15" s="126"/>
      <c r="ES15" s="126"/>
      <c r="ET15" s="126"/>
      <c r="EU15" s="126"/>
      <c r="EV15" s="126"/>
      <c r="EW15" s="126"/>
      <c r="EX15" s="126"/>
      <c r="EY15" s="126"/>
      <c r="EZ15" s="126"/>
      <c r="FA15" s="126"/>
      <c r="FB15" s="126"/>
      <c r="FC15" s="126"/>
      <c r="FD15" s="126"/>
      <c r="FE15" s="126"/>
      <c r="FF15" s="126"/>
      <c r="FG15" s="126"/>
      <c r="FH15" s="126"/>
      <c r="FI15" s="126"/>
      <c r="FJ15" s="126"/>
      <c r="FK15" s="126"/>
      <c r="FL15" s="126"/>
      <c r="FM15" s="126"/>
      <c r="FN15" s="126"/>
      <c r="FO15" s="126"/>
      <c r="FP15" s="126"/>
      <c r="FQ15" s="126"/>
      <c r="FR15" s="126"/>
      <c r="FS15" s="126"/>
      <c r="FT15" s="126"/>
      <c r="FU15" s="126"/>
      <c r="FV15" s="126"/>
      <c r="FW15" s="126"/>
      <c r="FX15" s="126"/>
      <c r="FY15" s="126"/>
      <c r="FZ15" s="126"/>
      <c r="GA15" s="126"/>
    </row>
    <row r="16" spans="1:183" ht="20.100000000000001" customHeight="1" x14ac:dyDescent="0.3">
      <c r="A16" s="142">
        <v>8</v>
      </c>
      <c r="B16" s="143"/>
      <c r="C16" s="143"/>
      <c r="D16" s="143"/>
      <c r="E16" s="144"/>
      <c r="F16" s="145"/>
      <c r="G16" s="146" t="str">
        <f t="shared" ref="G16:G72" si="0">IF(ISBLANK(E16),"",IF(F16=$O$11,E16*$P$11,IF(F16=$O$12,E16*$P$12,IF(F16=$O$13,E16*$P$13,IF(F16=$O$14,E16*$P$14,"")))))</f>
        <v/>
      </c>
      <c r="H16" s="147" t="str">
        <f>IF(G16="","",SUM($G$9:G16))</f>
        <v/>
      </c>
      <c r="I16" s="148"/>
      <c r="J16" s="149"/>
      <c r="K16" s="141"/>
      <c r="L16" s="151"/>
      <c r="M16" s="153"/>
      <c r="N16" s="151"/>
      <c r="O16" s="151" t="s">
        <v>23</v>
      </c>
      <c r="P16" s="151" t="s">
        <v>24</v>
      </c>
      <c r="Q16" s="151" t="s">
        <v>25</v>
      </c>
      <c r="R16" s="151" t="s">
        <v>26</v>
      </c>
      <c r="S16" s="151" t="s">
        <v>27</v>
      </c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6"/>
      <c r="CH16" s="126"/>
      <c r="CI16" s="126"/>
      <c r="CJ16" s="126"/>
      <c r="CK16" s="126"/>
      <c r="CL16" s="126"/>
      <c r="CM16" s="126"/>
      <c r="CN16" s="126"/>
      <c r="CO16" s="126"/>
      <c r="CP16" s="126"/>
      <c r="CQ16" s="126"/>
      <c r="CR16" s="126"/>
      <c r="CS16" s="126"/>
      <c r="CT16" s="126"/>
      <c r="CU16" s="126"/>
      <c r="CV16" s="126"/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/>
      <c r="DQ16" s="126"/>
      <c r="DR16" s="126"/>
      <c r="DS16" s="126"/>
      <c r="DT16" s="126"/>
      <c r="DU16" s="126"/>
      <c r="DV16" s="126"/>
      <c r="DW16" s="126"/>
      <c r="DX16" s="126"/>
      <c r="DY16" s="126"/>
      <c r="DZ16" s="126"/>
      <c r="EA16" s="126"/>
      <c r="EB16" s="126"/>
      <c r="EC16" s="126"/>
      <c r="ED16" s="126"/>
      <c r="EE16" s="126"/>
      <c r="EF16" s="126"/>
      <c r="EG16" s="126"/>
      <c r="EH16" s="126"/>
      <c r="EI16" s="126"/>
      <c r="EJ16" s="126"/>
      <c r="EK16" s="126"/>
      <c r="EL16" s="126"/>
      <c r="EM16" s="126"/>
      <c r="EN16" s="126"/>
      <c r="EO16" s="126"/>
      <c r="EP16" s="126"/>
      <c r="EQ16" s="126"/>
      <c r="ER16" s="126"/>
      <c r="ES16" s="126"/>
      <c r="ET16" s="126"/>
      <c r="EU16" s="126"/>
      <c r="EV16" s="126"/>
      <c r="EW16" s="126"/>
      <c r="EX16" s="126"/>
      <c r="EY16" s="126"/>
      <c r="EZ16" s="126"/>
      <c r="FA16" s="126"/>
      <c r="FB16" s="126"/>
      <c r="FC16" s="126"/>
      <c r="FD16" s="126"/>
      <c r="FE16" s="126"/>
      <c r="FF16" s="126"/>
      <c r="FG16" s="126"/>
      <c r="FH16" s="126"/>
      <c r="FI16" s="126"/>
      <c r="FJ16" s="126"/>
      <c r="FK16" s="126"/>
      <c r="FL16" s="126"/>
      <c r="FM16" s="126"/>
      <c r="FN16" s="126"/>
      <c r="FO16" s="126"/>
      <c r="FP16" s="126"/>
      <c r="FQ16" s="126"/>
      <c r="FR16" s="126"/>
      <c r="FS16" s="126"/>
      <c r="FT16" s="126"/>
      <c r="FU16" s="126"/>
      <c r="FV16" s="126"/>
      <c r="FW16" s="126"/>
      <c r="FX16" s="126"/>
      <c r="FY16" s="126"/>
      <c r="FZ16" s="126"/>
      <c r="GA16" s="126"/>
    </row>
    <row r="17" spans="1:183" ht="20.100000000000001" customHeight="1" x14ac:dyDescent="0.3">
      <c r="A17" s="142">
        <v>9</v>
      </c>
      <c r="B17" s="143"/>
      <c r="C17" s="143"/>
      <c r="D17" s="143"/>
      <c r="E17" s="144"/>
      <c r="F17" s="145"/>
      <c r="G17" s="146" t="str">
        <f t="shared" si="0"/>
        <v/>
      </c>
      <c r="H17" s="147" t="str">
        <f>IF(G17="","",SUM($G$9:G17))</f>
        <v/>
      </c>
      <c r="I17" s="148"/>
      <c r="J17" s="149"/>
      <c r="K17" s="141"/>
      <c r="L17" s="151"/>
      <c r="M17" s="153"/>
      <c r="N17" s="151"/>
      <c r="O17" s="151">
        <f>B2</f>
        <v>0</v>
      </c>
      <c r="P17" s="154">
        <f>IFERROR(M9/O17,0)</f>
        <v>0</v>
      </c>
      <c r="Q17" s="155">
        <f>MAX(1-P17,0)</f>
        <v>1</v>
      </c>
      <c r="R17" s="156">
        <f>MAX(O17-M9,0)</f>
        <v>0</v>
      </c>
      <c r="S17" s="156">
        <f>SUMIF(I9:I158,"&lt;&gt;",G9:G158)</f>
        <v>0</v>
      </c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26"/>
      <c r="EC17" s="126"/>
      <c r="ED17" s="126"/>
      <c r="EE17" s="126"/>
      <c r="EF17" s="126"/>
      <c r="EG17" s="126"/>
      <c r="EH17" s="126"/>
      <c r="EI17" s="126"/>
      <c r="EJ17" s="126"/>
      <c r="EK17" s="126"/>
      <c r="EL17" s="126"/>
      <c r="EM17" s="126"/>
      <c r="EN17" s="126"/>
      <c r="EO17" s="126"/>
      <c r="EP17" s="126"/>
      <c r="EQ17" s="126"/>
      <c r="ER17" s="126"/>
      <c r="ES17" s="126"/>
      <c r="ET17" s="126"/>
      <c r="EU17" s="126"/>
      <c r="EV17" s="126"/>
      <c r="EW17" s="126"/>
      <c r="EX17" s="126"/>
      <c r="EY17" s="126"/>
      <c r="EZ17" s="126"/>
      <c r="FA17" s="126"/>
      <c r="FB17" s="126"/>
      <c r="FC17" s="126"/>
      <c r="FD17" s="126"/>
      <c r="FE17" s="126"/>
      <c r="FF17" s="126"/>
      <c r="FG17" s="126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  <c r="FX17" s="126"/>
      <c r="FY17" s="126"/>
      <c r="FZ17" s="126"/>
      <c r="GA17" s="126"/>
    </row>
    <row r="18" spans="1:183" ht="20.100000000000001" customHeight="1" x14ac:dyDescent="0.3">
      <c r="A18" s="142">
        <v>10</v>
      </c>
      <c r="B18" s="143"/>
      <c r="C18" s="143"/>
      <c r="D18" s="143"/>
      <c r="E18" s="144"/>
      <c r="F18" s="145"/>
      <c r="G18" s="146" t="str">
        <f t="shared" si="0"/>
        <v/>
      </c>
      <c r="H18" s="147" t="str">
        <f>IF(G18="","",SUM($G$9:G18))</f>
        <v/>
      </c>
      <c r="I18" s="148"/>
      <c r="J18" s="149"/>
      <c r="K18" s="141"/>
      <c r="L18" s="151"/>
      <c r="M18" s="153"/>
      <c r="N18" s="151"/>
      <c r="O18" s="151">
        <f>B3</f>
        <v>0</v>
      </c>
      <c r="P18" s="154">
        <f>IFERROR(L9/O18,0)</f>
        <v>0</v>
      </c>
      <c r="Q18" s="155">
        <f>MAX(1-P18,0)</f>
        <v>1</v>
      </c>
      <c r="R18" s="151">
        <f>MAX(O18-L9,0)</f>
        <v>0</v>
      </c>
      <c r="S18" s="151">
        <f>COUNTIF(I9:I158,"&lt;&gt;")</f>
        <v>0</v>
      </c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26"/>
      <c r="EC18" s="126"/>
      <c r="ED18" s="126"/>
      <c r="EE18" s="126"/>
      <c r="EF18" s="126"/>
      <c r="EG18" s="126"/>
      <c r="EH18" s="126"/>
      <c r="EI18" s="126"/>
      <c r="EJ18" s="126"/>
      <c r="EK18" s="126"/>
      <c r="EL18" s="126"/>
      <c r="EM18" s="126"/>
      <c r="EN18" s="126"/>
      <c r="EO18" s="126"/>
      <c r="EP18" s="126"/>
      <c r="EQ18" s="126"/>
      <c r="ER18" s="126"/>
      <c r="ES18" s="126"/>
      <c r="ET18" s="126"/>
      <c r="EU18" s="126"/>
      <c r="EV18" s="126"/>
      <c r="EW18" s="126"/>
      <c r="EX18" s="126"/>
      <c r="EY18" s="126"/>
      <c r="EZ18" s="126"/>
      <c r="FA18" s="126"/>
      <c r="FB18" s="126"/>
      <c r="FC18" s="126"/>
      <c r="FD18" s="126"/>
      <c r="FE18" s="126"/>
      <c r="FF18" s="126"/>
      <c r="FG18" s="126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  <c r="FX18" s="126"/>
      <c r="FY18" s="126"/>
      <c r="FZ18" s="126"/>
      <c r="GA18" s="126"/>
    </row>
    <row r="19" spans="1:183" ht="20.100000000000001" customHeight="1" x14ac:dyDescent="0.3">
      <c r="A19" s="142">
        <v>11</v>
      </c>
      <c r="B19" s="143"/>
      <c r="C19" s="143"/>
      <c r="D19" s="143"/>
      <c r="E19" s="144"/>
      <c r="F19" s="145"/>
      <c r="G19" s="146" t="str">
        <f t="shared" si="0"/>
        <v/>
      </c>
      <c r="H19" s="147" t="str">
        <f>IF(G19="","",SUM($G$9:G19))</f>
        <v/>
      </c>
      <c r="I19" s="148"/>
      <c r="J19" s="149"/>
      <c r="K19" s="141"/>
      <c r="L19" s="151"/>
      <c r="M19" s="153"/>
      <c r="N19" s="151"/>
      <c r="O19" s="151" t="s">
        <v>28</v>
      </c>
      <c r="P19" s="157">
        <f>IFERROR(S17/O17,0)</f>
        <v>0</v>
      </c>
      <c r="Q19" s="155">
        <f>MAX(1-P19,0)</f>
        <v>1</v>
      </c>
      <c r="R19" s="151"/>
      <c r="S19" s="151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  <c r="DD19" s="126"/>
      <c r="DE19" s="126"/>
      <c r="DF19" s="126"/>
      <c r="DG19" s="126"/>
      <c r="DH19" s="126"/>
      <c r="DI19" s="126"/>
      <c r="DJ19" s="126"/>
      <c r="DK19" s="126"/>
      <c r="DL19" s="126"/>
      <c r="DM19" s="126"/>
      <c r="DN19" s="126"/>
      <c r="DO19" s="126"/>
      <c r="DP19" s="126"/>
      <c r="DQ19" s="126"/>
      <c r="DR19" s="126"/>
      <c r="DS19" s="126"/>
      <c r="DT19" s="126"/>
      <c r="DU19" s="126"/>
      <c r="DV19" s="126"/>
      <c r="DW19" s="126"/>
      <c r="DX19" s="126"/>
      <c r="DY19" s="126"/>
      <c r="DZ19" s="126"/>
      <c r="EA19" s="126"/>
      <c r="EB19" s="126"/>
      <c r="EC19" s="126"/>
      <c r="ED19" s="126"/>
      <c r="EE19" s="126"/>
      <c r="EF19" s="126"/>
      <c r="EG19" s="126"/>
      <c r="EH19" s="126"/>
      <c r="EI19" s="126"/>
      <c r="EJ19" s="126"/>
      <c r="EK19" s="126"/>
      <c r="EL19" s="126"/>
      <c r="EM19" s="126"/>
      <c r="EN19" s="126"/>
      <c r="EO19" s="126"/>
      <c r="EP19" s="126"/>
      <c r="EQ19" s="126"/>
      <c r="ER19" s="126"/>
      <c r="ES19" s="126"/>
      <c r="ET19" s="126"/>
      <c r="EU19" s="126"/>
      <c r="EV19" s="126"/>
      <c r="EW19" s="126"/>
      <c r="EX19" s="126"/>
      <c r="EY19" s="126"/>
      <c r="EZ19" s="126"/>
      <c r="FA19" s="126"/>
      <c r="FB19" s="126"/>
      <c r="FC19" s="126"/>
      <c r="FD19" s="126"/>
      <c r="FE19" s="126"/>
      <c r="FF19" s="126"/>
      <c r="FG19" s="126"/>
      <c r="FH19" s="126"/>
      <c r="FI19" s="126"/>
      <c r="FJ19" s="126"/>
      <c r="FK19" s="126"/>
      <c r="FL19" s="126"/>
      <c r="FM19" s="126"/>
      <c r="FN19" s="126"/>
      <c r="FO19" s="126"/>
      <c r="FP19" s="126"/>
      <c r="FQ19" s="126"/>
      <c r="FR19" s="126"/>
      <c r="FS19" s="126"/>
      <c r="FT19" s="126"/>
      <c r="FU19" s="126"/>
      <c r="FV19" s="126"/>
      <c r="FW19" s="126"/>
      <c r="FX19" s="126"/>
      <c r="FY19" s="126"/>
      <c r="FZ19" s="126"/>
      <c r="GA19" s="126"/>
    </row>
    <row r="20" spans="1:183" ht="20.100000000000001" customHeight="1" x14ac:dyDescent="0.3">
      <c r="A20" s="142">
        <v>12</v>
      </c>
      <c r="B20" s="143"/>
      <c r="C20" s="143"/>
      <c r="D20" s="143"/>
      <c r="E20" s="144"/>
      <c r="F20" s="145"/>
      <c r="G20" s="146" t="str">
        <f t="shared" si="0"/>
        <v/>
      </c>
      <c r="H20" s="147" t="str">
        <f>IF(G20="","",SUM($G$9:G20))</f>
        <v/>
      </c>
      <c r="I20" s="148"/>
      <c r="J20" s="149"/>
      <c r="K20" s="141"/>
      <c r="L20" s="151"/>
      <c r="M20" s="153"/>
      <c r="N20" s="151"/>
      <c r="O20" s="151" t="s">
        <v>29</v>
      </c>
      <c r="P20" s="157">
        <f>IFERROR(S18/O18,0)</f>
        <v>0</v>
      </c>
      <c r="Q20" s="155">
        <f>MAX(1-P20,0)</f>
        <v>1</v>
      </c>
      <c r="R20" s="151"/>
      <c r="S20" s="151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  <c r="DD20" s="126"/>
      <c r="DE20" s="126"/>
      <c r="DF20" s="126"/>
      <c r="DG20" s="126"/>
      <c r="DH20" s="126"/>
      <c r="DI20" s="126"/>
      <c r="DJ20" s="126"/>
      <c r="DK20" s="126"/>
      <c r="DL20" s="126"/>
      <c r="DM20" s="126"/>
      <c r="DN20" s="126"/>
      <c r="DO20" s="126"/>
      <c r="DP20" s="126"/>
      <c r="DQ20" s="126"/>
      <c r="DR20" s="126"/>
      <c r="DS20" s="126"/>
      <c r="DT20" s="126"/>
      <c r="DU20" s="126"/>
      <c r="DV20" s="126"/>
      <c r="DW20" s="126"/>
      <c r="DX20" s="126"/>
      <c r="DY20" s="126"/>
      <c r="DZ20" s="126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6"/>
      <c r="EL20" s="126"/>
      <c r="EM20" s="126"/>
      <c r="EN20" s="126"/>
      <c r="EO20" s="126"/>
      <c r="EP20" s="126"/>
      <c r="EQ20" s="126"/>
      <c r="ER20" s="126"/>
      <c r="ES20" s="126"/>
      <c r="ET20" s="126"/>
      <c r="EU20" s="126"/>
      <c r="EV20" s="126"/>
      <c r="EW20" s="126"/>
      <c r="EX20" s="126"/>
      <c r="EY20" s="126"/>
      <c r="EZ20" s="126"/>
      <c r="FA20" s="126"/>
      <c r="FB20" s="126"/>
      <c r="FC20" s="126"/>
      <c r="FD20" s="126"/>
      <c r="FE20" s="126"/>
      <c r="FF20" s="126"/>
      <c r="FG20" s="126"/>
      <c r="FH20" s="126"/>
      <c r="FI20" s="126"/>
      <c r="FJ20" s="126"/>
      <c r="FK20" s="126"/>
      <c r="FL20" s="126"/>
      <c r="FM20" s="126"/>
      <c r="FN20" s="126"/>
      <c r="FO20" s="126"/>
      <c r="FP20" s="126"/>
      <c r="FQ20" s="126"/>
      <c r="FR20" s="126"/>
      <c r="FS20" s="126"/>
      <c r="FT20" s="126"/>
      <c r="FU20" s="126"/>
      <c r="FV20" s="126"/>
      <c r="FW20" s="126"/>
      <c r="FX20" s="126"/>
      <c r="FY20" s="126"/>
      <c r="FZ20" s="126"/>
      <c r="GA20" s="126"/>
    </row>
    <row r="21" spans="1:183" ht="20.100000000000001" customHeight="1" x14ac:dyDescent="0.3">
      <c r="A21" s="142">
        <v>13</v>
      </c>
      <c r="B21" s="143"/>
      <c r="C21" s="143"/>
      <c r="D21" s="143"/>
      <c r="E21" s="144"/>
      <c r="F21" s="145"/>
      <c r="G21" s="146" t="str">
        <f t="shared" si="0"/>
        <v/>
      </c>
      <c r="H21" s="147" t="str">
        <f>IF(G21="","",SUM($G$9:G21))</f>
        <v/>
      </c>
      <c r="I21" s="148"/>
      <c r="J21" s="149"/>
      <c r="K21" s="141"/>
      <c r="L21" s="151"/>
      <c r="M21" s="153"/>
      <c r="N21" s="151"/>
      <c r="O21" s="151"/>
      <c r="P21" s="151"/>
      <c r="Q21" s="151"/>
      <c r="R21" s="151"/>
      <c r="S21" s="151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  <c r="DD21" s="126"/>
      <c r="DE21" s="126"/>
      <c r="DF21" s="126"/>
      <c r="DG21" s="126"/>
      <c r="DH21" s="126"/>
      <c r="DI21" s="126"/>
      <c r="DJ21" s="126"/>
      <c r="DK21" s="126"/>
      <c r="DL21" s="126"/>
      <c r="DM21" s="126"/>
      <c r="DN21" s="126"/>
      <c r="DO21" s="126"/>
      <c r="DP21" s="126"/>
      <c r="DQ21" s="126"/>
      <c r="DR21" s="126"/>
      <c r="DS21" s="126"/>
      <c r="DT21" s="126"/>
      <c r="DU21" s="126"/>
      <c r="DV21" s="126"/>
      <c r="DW21" s="126"/>
      <c r="DX21" s="126"/>
      <c r="DY21" s="126"/>
      <c r="DZ21" s="126"/>
      <c r="EA21" s="126"/>
      <c r="EB21" s="126"/>
      <c r="EC21" s="126"/>
      <c r="ED21" s="126"/>
      <c r="EE21" s="126"/>
      <c r="EF21" s="126"/>
      <c r="EG21" s="126"/>
      <c r="EH21" s="126"/>
      <c r="EI21" s="126"/>
      <c r="EJ21" s="126"/>
      <c r="EK21" s="126"/>
      <c r="EL21" s="126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</row>
    <row r="22" spans="1:183" ht="20.100000000000001" customHeight="1" x14ac:dyDescent="0.3">
      <c r="A22" s="142">
        <v>14</v>
      </c>
      <c r="B22" s="143"/>
      <c r="C22" s="143"/>
      <c r="D22" s="143"/>
      <c r="E22" s="144"/>
      <c r="F22" s="145"/>
      <c r="G22" s="146" t="str">
        <f t="shared" si="0"/>
        <v/>
      </c>
      <c r="H22" s="147" t="str">
        <f>IF(G22="","",SUM($G$9:G22))</f>
        <v/>
      </c>
      <c r="I22" s="148"/>
      <c r="J22" s="149"/>
      <c r="K22" s="141"/>
      <c r="L22" s="151"/>
      <c r="M22" s="153"/>
      <c r="N22" s="151"/>
      <c r="O22" s="151" t="s">
        <v>30</v>
      </c>
      <c r="P22" s="151"/>
      <c r="Q22" s="151"/>
      <c r="R22" s="151"/>
      <c r="S22" s="151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26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26"/>
      <c r="EU22" s="126"/>
      <c r="EV22" s="126"/>
      <c r="EW22" s="126"/>
      <c r="EX22" s="126"/>
      <c r="EY22" s="126"/>
      <c r="EZ22" s="126"/>
      <c r="FA22" s="126"/>
      <c r="FB22" s="126"/>
      <c r="FC22" s="126"/>
      <c r="FD22" s="126"/>
      <c r="FE22" s="126"/>
      <c r="FF22" s="126"/>
      <c r="FG22" s="126"/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  <c r="FX22" s="126"/>
      <c r="FY22" s="126"/>
      <c r="FZ22" s="126"/>
      <c r="GA22" s="126"/>
    </row>
    <row r="23" spans="1:183" ht="20.100000000000001" customHeight="1" x14ac:dyDescent="0.3">
      <c r="A23" s="142">
        <v>15</v>
      </c>
      <c r="B23" s="143"/>
      <c r="C23" s="143"/>
      <c r="D23" s="143"/>
      <c r="E23" s="144"/>
      <c r="F23" s="145"/>
      <c r="G23" s="146" t="str">
        <f t="shared" si="0"/>
        <v/>
      </c>
      <c r="H23" s="147" t="str">
        <f>IF(G23="","",SUM($G$9:G23))</f>
        <v/>
      </c>
      <c r="I23" s="148"/>
      <c r="J23" s="149"/>
      <c r="K23" s="141"/>
      <c r="L23" s="151"/>
      <c r="M23" s="153"/>
      <c r="N23" s="151"/>
      <c r="O23" s="151" t="s">
        <v>31</v>
      </c>
      <c r="P23" s="151"/>
      <c r="Q23" s="151"/>
      <c r="R23" s="151"/>
      <c r="S23" s="151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  <c r="CV23" s="126"/>
      <c r="CW23" s="126"/>
      <c r="CX23" s="126"/>
      <c r="CY23" s="126"/>
      <c r="CZ23" s="126"/>
      <c r="DA23" s="126"/>
      <c r="DB23" s="126"/>
      <c r="DC23" s="126"/>
      <c r="DD23" s="126"/>
      <c r="DE23" s="126"/>
      <c r="DF23" s="126"/>
      <c r="DG23" s="126"/>
      <c r="DH23" s="126"/>
      <c r="DI23" s="126"/>
      <c r="DJ23" s="126"/>
      <c r="DK23" s="126"/>
      <c r="DL23" s="126"/>
      <c r="DM23" s="126"/>
      <c r="DN23" s="126"/>
      <c r="DO23" s="126"/>
      <c r="DP23" s="126"/>
      <c r="DQ23" s="126"/>
      <c r="DR23" s="126"/>
      <c r="DS23" s="126"/>
      <c r="DT23" s="126"/>
      <c r="DU23" s="126"/>
      <c r="DV23" s="126"/>
      <c r="DW23" s="126"/>
      <c r="DX23" s="126"/>
      <c r="DY23" s="126"/>
      <c r="DZ23" s="126"/>
      <c r="EA23" s="126"/>
      <c r="EB23" s="126"/>
      <c r="EC23" s="126"/>
      <c r="ED23" s="126"/>
      <c r="EE23" s="126"/>
      <c r="EF23" s="126"/>
      <c r="EG23" s="126"/>
      <c r="EH23" s="126"/>
      <c r="EI23" s="126"/>
      <c r="EJ23" s="126"/>
      <c r="EK23" s="126"/>
      <c r="EL23" s="126"/>
      <c r="EM23" s="126"/>
      <c r="EN23" s="126"/>
      <c r="EO23" s="126"/>
      <c r="EP23" s="126"/>
      <c r="EQ23" s="126"/>
      <c r="ER23" s="126"/>
      <c r="ES23" s="126"/>
      <c r="ET23" s="126"/>
      <c r="EU23" s="126"/>
      <c r="EV23" s="126"/>
      <c r="EW23" s="126"/>
      <c r="EX23" s="126"/>
      <c r="EY23" s="126"/>
      <c r="EZ23" s="126"/>
      <c r="FA23" s="126"/>
      <c r="FB23" s="126"/>
      <c r="FC23" s="126"/>
      <c r="FD23" s="126"/>
      <c r="FE23" s="126"/>
      <c r="FF23" s="126"/>
      <c r="FG23" s="126"/>
      <c r="FH23" s="126"/>
      <c r="FI23" s="126"/>
      <c r="FJ23" s="126"/>
      <c r="FK23" s="126"/>
      <c r="FL23" s="126"/>
      <c r="FM23" s="126"/>
      <c r="FN23" s="126"/>
      <c r="FO23" s="126"/>
      <c r="FP23" s="126"/>
      <c r="FQ23" s="126"/>
      <c r="FR23" s="126"/>
      <c r="FS23" s="126"/>
      <c r="FT23" s="126"/>
      <c r="FU23" s="126"/>
      <c r="FV23" s="126"/>
      <c r="FW23" s="126"/>
      <c r="FX23" s="126"/>
      <c r="FY23" s="126"/>
      <c r="FZ23" s="126"/>
      <c r="GA23" s="126"/>
    </row>
    <row r="24" spans="1:183" ht="20.100000000000001" customHeight="1" x14ac:dyDescent="0.3">
      <c r="A24" s="142">
        <v>16</v>
      </c>
      <c r="B24" s="143"/>
      <c r="C24" s="143"/>
      <c r="D24" s="143"/>
      <c r="E24" s="144"/>
      <c r="F24" s="145"/>
      <c r="G24" s="146" t="str">
        <f t="shared" si="0"/>
        <v/>
      </c>
      <c r="H24" s="147" t="str">
        <f>IF(G24="","",SUM($G$9:G24))</f>
        <v/>
      </c>
      <c r="I24" s="148"/>
      <c r="J24" s="149"/>
      <c r="K24" s="141"/>
      <c r="L24" s="151"/>
      <c r="M24" s="153"/>
      <c r="N24" s="151"/>
      <c r="O24" s="151" t="s">
        <v>17</v>
      </c>
      <c r="P24" s="151"/>
      <c r="Q24" s="151"/>
      <c r="R24" s="151"/>
      <c r="S24" s="151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126"/>
      <c r="CG24" s="126"/>
      <c r="CH24" s="126"/>
      <c r="CI24" s="126"/>
      <c r="CJ24" s="126"/>
      <c r="CK24" s="126"/>
      <c r="CL24" s="126"/>
      <c r="CM24" s="126"/>
      <c r="CN24" s="126"/>
      <c r="CO24" s="126"/>
      <c r="CP24" s="126"/>
      <c r="CQ24" s="126"/>
      <c r="CR24" s="126"/>
      <c r="CS24" s="126"/>
      <c r="CT24" s="126"/>
      <c r="CU24" s="126"/>
      <c r="CV24" s="126"/>
      <c r="CW24" s="126"/>
      <c r="CX24" s="126"/>
      <c r="CY24" s="126"/>
      <c r="CZ24" s="126"/>
      <c r="DA24" s="126"/>
      <c r="DB24" s="126"/>
      <c r="DC24" s="126"/>
      <c r="DD24" s="126"/>
      <c r="DE24" s="126"/>
      <c r="DF24" s="126"/>
      <c r="DG24" s="126"/>
      <c r="DH24" s="126"/>
      <c r="DI24" s="126"/>
      <c r="DJ24" s="126"/>
      <c r="DK24" s="126"/>
      <c r="DL24" s="126"/>
      <c r="DM24" s="126"/>
      <c r="DN24" s="126"/>
      <c r="DO24" s="126"/>
      <c r="DP24" s="126"/>
      <c r="DQ24" s="126"/>
      <c r="DR24" s="126"/>
      <c r="DS24" s="126"/>
      <c r="DT24" s="126"/>
      <c r="DU24" s="126"/>
      <c r="DV24" s="126"/>
      <c r="DW24" s="126"/>
      <c r="DX24" s="126"/>
      <c r="DY24" s="126"/>
      <c r="DZ24" s="126"/>
      <c r="EA24" s="126"/>
      <c r="EB24" s="126"/>
      <c r="EC24" s="126"/>
      <c r="ED24" s="126"/>
      <c r="EE24" s="126"/>
      <c r="EF24" s="126"/>
      <c r="EG24" s="126"/>
      <c r="EH24" s="126"/>
      <c r="EI24" s="126"/>
      <c r="EJ24" s="126"/>
      <c r="EK24" s="126"/>
      <c r="EL24" s="126"/>
      <c r="EM24" s="126"/>
      <c r="EN24" s="126"/>
      <c r="EO24" s="126"/>
      <c r="EP24" s="126"/>
      <c r="EQ24" s="126"/>
      <c r="ER24" s="126"/>
      <c r="ES24" s="126"/>
      <c r="ET24" s="126"/>
      <c r="EU24" s="126"/>
      <c r="EV24" s="126"/>
      <c r="EW24" s="126"/>
      <c r="EX24" s="126"/>
      <c r="EY24" s="126"/>
      <c r="EZ24" s="126"/>
      <c r="FA24" s="126"/>
      <c r="FB24" s="126"/>
      <c r="FC24" s="126"/>
      <c r="FD24" s="126"/>
      <c r="FE24" s="126"/>
      <c r="FF24" s="126"/>
      <c r="FG24" s="126"/>
      <c r="FH24" s="126"/>
      <c r="FI24" s="126"/>
      <c r="FJ24" s="126"/>
      <c r="FK24" s="126"/>
      <c r="FL24" s="126"/>
      <c r="FM24" s="126"/>
      <c r="FN24" s="126"/>
      <c r="FO24" s="126"/>
      <c r="FP24" s="126"/>
      <c r="FQ24" s="126"/>
      <c r="FR24" s="126"/>
      <c r="FS24" s="126"/>
      <c r="FT24" s="126"/>
      <c r="FU24" s="126"/>
      <c r="FV24" s="126"/>
      <c r="FW24" s="126"/>
      <c r="FX24" s="126"/>
      <c r="FY24" s="126"/>
      <c r="FZ24" s="126"/>
      <c r="GA24" s="126"/>
    </row>
    <row r="25" spans="1:183" ht="20.100000000000001" customHeight="1" x14ac:dyDescent="0.3">
      <c r="A25" s="142">
        <v>17</v>
      </c>
      <c r="B25" s="143"/>
      <c r="C25" s="143"/>
      <c r="D25" s="143"/>
      <c r="E25" s="144"/>
      <c r="F25" s="145"/>
      <c r="G25" s="146" t="str">
        <f t="shared" si="0"/>
        <v/>
      </c>
      <c r="H25" s="147" t="str">
        <f>IF(G25="","",SUM($G$9:G25))</f>
        <v/>
      </c>
      <c r="I25" s="148"/>
      <c r="J25" s="149"/>
      <c r="K25" s="141"/>
      <c r="L25" s="151"/>
      <c r="M25" s="153"/>
      <c r="N25" s="151"/>
      <c r="O25" s="151"/>
      <c r="P25" s="151"/>
      <c r="Q25" s="151"/>
      <c r="R25" s="151"/>
      <c r="S25" s="151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</row>
    <row r="26" spans="1:183" ht="20.100000000000001" customHeight="1" x14ac:dyDescent="0.3">
      <c r="A26" s="142">
        <v>18</v>
      </c>
      <c r="B26" s="143"/>
      <c r="C26" s="143"/>
      <c r="D26" s="143"/>
      <c r="E26" s="144"/>
      <c r="F26" s="145"/>
      <c r="G26" s="146" t="str">
        <f t="shared" si="0"/>
        <v/>
      </c>
      <c r="H26" s="147" t="str">
        <f>IF(G26="","",SUM($G$9:G26))</f>
        <v/>
      </c>
      <c r="I26" s="148"/>
      <c r="J26" s="149"/>
      <c r="K26" s="141"/>
      <c r="L26" s="151"/>
      <c r="M26" s="153"/>
      <c r="N26" s="151"/>
      <c r="O26" s="151"/>
      <c r="P26" s="151"/>
      <c r="Q26" s="151"/>
      <c r="R26" s="151"/>
      <c r="S26" s="151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  <c r="CF26" s="126"/>
      <c r="CG26" s="126"/>
      <c r="CH26" s="126"/>
      <c r="CI26" s="126"/>
      <c r="CJ26" s="126"/>
      <c r="CK26" s="126"/>
      <c r="CL26" s="126"/>
      <c r="CM26" s="126"/>
      <c r="CN26" s="126"/>
      <c r="CO26" s="126"/>
      <c r="CP26" s="126"/>
      <c r="CQ26" s="126"/>
      <c r="CR26" s="126"/>
      <c r="CS26" s="126"/>
      <c r="CT26" s="126"/>
      <c r="CU26" s="126"/>
      <c r="CV26" s="126"/>
      <c r="CW26" s="126"/>
      <c r="CX26" s="126"/>
      <c r="CY26" s="126"/>
      <c r="CZ26" s="126"/>
      <c r="DA26" s="126"/>
      <c r="DB26" s="126"/>
      <c r="DC26" s="126"/>
      <c r="DD26" s="126"/>
      <c r="DE26" s="126"/>
      <c r="DF26" s="126"/>
      <c r="DG26" s="126"/>
      <c r="DH26" s="126"/>
      <c r="DI26" s="126"/>
      <c r="DJ26" s="126"/>
      <c r="DK26" s="126"/>
      <c r="DL26" s="126"/>
      <c r="DM26" s="126"/>
      <c r="DN26" s="126"/>
      <c r="DO26" s="126"/>
      <c r="DP26" s="126"/>
      <c r="DQ26" s="126"/>
      <c r="DR26" s="126"/>
      <c r="DS26" s="126"/>
      <c r="DT26" s="126"/>
      <c r="DU26" s="126"/>
      <c r="DV26" s="126"/>
      <c r="DW26" s="126"/>
      <c r="DX26" s="126"/>
      <c r="DY26" s="126"/>
      <c r="DZ26" s="126"/>
      <c r="EA26" s="126"/>
      <c r="EB26" s="126"/>
      <c r="EC26" s="126"/>
      <c r="ED26" s="126"/>
      <c r="EE26" s="126"/>
      <c r="EF26" s="126"/>
      <c r="EG26" s="126"/>
      <c r="EH26" s="126"/>
      <c r="EI26" s="126"/>
      <c r="EJ26" s="126"/>
      <c r="EK26" s="126"/>
      <c r="EL26" s="126"/>
      <c r="EM26" s="126"/>
      <c r="EN26" s="126"/>
      <c r="EO26" s="126"/>
      <c r="EP26" s="126"/>
      <c r="EQ26" s="126"/>
      <c r="ER26" s="126"/>
      <c r="ES26" s="126"/>
      <c r="ET26" s="126"/>
      <c r="EU26" s="126"/>
      <c r="EV26" s="126"/>
      <c r="EW26" s="126"/>
      <c r="EX26" s="126"/>
      <c r="EY26" s="126"/>
      <c r="EZ26" s="126"/>
      <c r="FA26" s="126"/>
      <c r="FB26" s="126"/>
      <c r="FC26" s="126"/>
      <c r="FD26" s="126"/>
      <c r="FE26" s="126"/>
      <c r="FF26" s="126"/>
      <c r="FG26" s="126"/>
      <c r="FH26" s="126"/>
      <c r="FI26" s="126"/>
      <c r="FJ26" s="126"/>
      <c r="FK26" s="126"/>
      <c r="FL26" s="126"/>
      <c r="FM26" s="126"/>
      <c r="FN26" s="126"/>
      <c r="FO26" s="126"/>
      <c r="FP26" s="126"/>
      <c r="FQ26" s="126"/>
      <c r="FR26" s="126"/>
      <c r="FS26" s="126"/>
      <c r="FT26" s="126"/>
      <c r="FU26" s="126"/>
      <c r="FV26" s="126"/>
      <c r="FW26" s="126"/>
      <c r="FX26" s="126"/>
      <c r="FY26" s="126"/>
      <c r="FZ26" s="126"/>
      <c r="GA26" s="126"/>
    </row>
    <row r="27" spans="1:183" ht="20.100000000000001" customHeight="1" x14ac:dyDescent="0.3">
      <c r="A27" s="142">
        <v>19</v>
      </c>
      <c r="B27" s="143"/>
      <c r="C27" s="143"/>
      <c r="D27" s="143"/>
      <c r="E27" s="144"/>
      <c r="F27" s="145"/>
      <c r="G27" s="146" t="str">
        <f t="shared" si="0"/>
        <v/>
      </c>
      <c r="H27" s="147" t="str">
        <f>IF(G27="","",SUM($G$9:G27))</f>
        <v/>
      </c>
      <c r="I27" s="148"/>
      <c r="J27" s="149"/>
      <c r="K27" s="141"/>
      <c r="L27" s="151"/>
      <c r="M27" s="153"/>
      <c r="N27" s="151"/>
      <c r="O27" s="151"/>
      <c r="P27" s="151"/>
      <c r="Q27" s="151"/>
      <c r="R27" s="151"/>
      <c r="S27" s="151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</row>
    <row r="28" spans="1:183" ht="20.100000000000001" customHeight="1" x14ac:dyDescent="0.3">
      <c r="A28" s="142">
        <v>20</v>
      </c>
      <c r="B28" s="143"/>
      <c r="C28" s="143"/>
      <c r="D28" s="143"/>
      <c r="E28" s="144"/>
      <c r="F28" s="145"/>
      <c r="G28" s="146" t="str">
        <f t="shared" si="0"/>
        <v/>
      </c>
      <c r="H28" s="147" t="str">
        <f>IF(G28="","",SUM($G$9:G28))</f>
        <v/>
      </c>
      <c r="I28" s="148"/>
      <c r="J28" s="149"/>
      <c r="K28" s="141"/>
      <c r="L28" s="151"/>
      <c r="M28" s="153"/>
      <c r="N28" s="151"/>
      <c r="O28" s="151"/>
      <c r="P28" s="151"/>
      <c r="Q28" s="151"/>
      <c r="R28" s="151"/>
      <c r="S28" s="151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6"/>
      <c r="EL28" s="126"/>
      <c r="EM28" s="126"/>
      <c r="EN28" s="126"/>
      <c r="EO28" s="126"/>
      <c r="EP28" s="126"/>
      <c r="EQ28" s="126"/>
      <c r="ER28" s="126"/>
      <c r="ES28" s="126"/>
      <c r="ET28" s="126"/>
      <c r="EU28" s="126"/>
      <c r="EV28" s="126"/>
      <c r="EW28" s="126"/>
      <c r="EX28" s="126"/>
      <c r="EY28" s="126"/>
      <c r="EZ28" s="126"/>
      <c r="FA28" s="126"/>
      <c r="FB28" s="126"/>
      <c r="FC28" s="126"/>
      <c r="FD28" s="126"/>
      <c r="FE28" s="126"/>
      <c r="FF28" s="126"/>
      <c r="FG28" s="126"/>
      <c r="FH28" s="126"/>
      <c r="FI28" s="126"/>
      <c r="FJ28" s="126"/>
      <c r="FK28" s="126"/>
      <c r="FL28" s="126"/>
      <c r="FM28" s="126"/>
      <c r="FN28" s="126"/>
      <c r="FO28" s="126"/>
      <c r="FP28" s="126"/>
      <c r="FQ28" s="126"/>
      <c r="FR28" s="126"/>
      <c r="FS28" s="126"/>
      <c r="FT28" s="126"/>
      <c r="FU28" s="126"/>
      <c r="FV28" s="126"/>
      <c r="FW28" s="126"/>
      <c r="FX28" s="126"/>
      <c r="FY28" s="126"/>
      <c r="FZ28" s="126"/>
      <c r="GA28" s="126"/>
    </row>
    <row r="29" spans="1:183" ht="20.100000000000001" customHeight="1" x14ac:dyDescent="0.3">
      <c r="A29" s="142">
        <v>21</v>
      </c>
      <c r="B29" s="143"/>
      <c r="C29" s="143"/>
      <c r="D29" s="143"/>
      <c r="E29" s="144"/>
      <c r="F29" s="145"/>
      <c r="G29" s="146" t="str">
        <f t="shared" si="0"/>
        <v/>
      </c>
      <c r="H29" s="147" t="str">
        <f>IF(G29="","",SUM($G$9:G29))</f>
        <v/>
      </c>
      <c r="I29" s="148"/>
      <c r="J29" s="149"/>
      <c r="K29" s="141"/>
      <c r="L29" s="151"/>
      <c r="M29" s="153"/>
      <c r="N29" s="151"/>
      <c r="O29" s="151"/>
      <c r="P29" s="151"/>
      <c r="Q29" s="151"/>
      <c r="R29" s="151"/>
      <c r="S29" s="151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26"/>
      <c r="DL29" s="126"/>
      <c r="DM29" s="12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6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26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26"/>
      <c r="EU29" s="126"/>
      <c r="EV29" s="126"/>
      <c r="EW29" s="126"/>
      <c r="EX29" s="126"/>
      <c r="EY29" s="126"/>
      <c r="EZ29" s="126"/>
      <c r="FA29" s="126"/>
      <c r="FB29" s="126"/>
      <c r="FC29" s="126"/>
      <c r="FD29" s="126"/>
      <c r="FE29" s="126"/>
      <c r="FF29" s="126"/>
      <c r="FG29" s="126"/>
      <c r="FH29" s="126"/>
      <c r="FI29" s="126"/>
      <c r="FJ29" s="126"/>
      <c r="FK29" s="126"/>
      <c r="FL29" s="126"/>
      <c r="FM29" s="126"/>
      <c r="FN29" s="126"/>
      <c r="FO29" s="126"/>
      <c r="FP29" s="126"/>
      <c r="FQ29" s="126"/>
      <c r="FR29" s="126"/>
      <c r="FS29" s="126"/>
      <c r="FT29" s="126"/>
      <c r="FU29" s="126"/>
      <c r="FV29" s="126"/>
      <c r="FW29" s="126"/>
      <c r="FX29" s="126"/>
      <c r="FY29" s="126"/>
      <c r="FZ29" s="126"/>
      <c r="GA29" s="126"/>
    </row>
    <row r="30" spans="1:183" ht="20.100000000000001" customHeight="1" x14ac:dyDescent="0.3">
      <c r="A30" s="142">
        <v>22</v>
      </c>
      <c r="B30" s="143"/>
      <c r="C30" s="143"/>
      <c r="D30" s="143"/>
      <c r="E30" s="144"/>
      <c r="F30" s="145"/>
      <c r="G30" s="146" t="str">
        <f t="shared" si="0"/>
        <v/>
      </c>
      <c r="H30" s="147" t="str">
        <f>IF(G30="","",SUM($G$9:G30))</f>
        <v/>
      </c>
      <c r="I30" s="148"/>
      <c r="J30" s="149"/>
      <c r="K30" s="132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</row>
    <row r="31" spans="1:183" ht="20.100000000000001" customHeight="1" x14ac:dyDescent="0.3">
      <c r="A31" s="142">
        <v>23</v>
      </c>
      <c r="B31" s="143"/>
      <c r="C31" s="143"/>
      <c r="D31" s="143"/>
      <c r="E31" s="144"/>
      <c r="F31" s="145"/>
      <c r="G31" s="146" t="str">
        <f t="shared" si="0"/>
        <v/>
      </c>
      <c r="H31" s="147" t="str">
        <f>IF(G31="","",SUM($G$9:G31))</f>
        <v/>
      </c>
      <c r="I31" s="148"/>
      <c r="J31" s="149"/>
      <c r="K31" s="132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  <c r="CF31" s="126"/>
      <c r="CG31" s="126"/>
      <c r="CH31" s="126"/>
      <c r="CI31" s="126"/>
      <c r="CJ31" s="126"/>
      <c r="CK31" s="126"/>
      <c r="CL31" s="126"/>
      <c r="CM31" s="126"/>
      <c r="CN31" s="126"/>
      <c r="CO31" s="126"/>
      <c r="CP31" s="126"/>
      <c r="CQ31" s="126"/>
      <c r="CR31" s="126"/>
      <c r="CS31" s="126"/>
      <c r="CT31" s="126"/>
      <c r="CU31" s="126"/>
      <c r="CV31" s="126"/>
      <c r="CW31" s="126"/>
      <c r="CX31" s="126"/>
      <c r="CY31" s="126"/>
      <c r="CZ31" s="126"/>
      <c r="DA31" s="126"/>
      <c r="DB31" s="126"/>
      <c r="DC31" s="126"/>
      <c r="DD31" s="126"/>
      <c r="DE31" s="126"/>
      <c r="DF31" s="126"/>
      <c r="DG31" s="126"/>
      <c r="DH31" s="126"/>
      <c r="DI31" s="126"/>
      <c r="DJ31" s="126"/>
      <c r="DK31" s="126"/>
      <c r="DL31" s="126"/>
      <c r="DM31" s="126"/>
      <c r="DN31" s="126"/>
      <c r="DO31" s="126"/>
      <c r="DP31" s="126"/>
      <c r="DQ31" s="126"/>
      <c r="DR31" s="126"/>
      <c r="DS31" s="126"/>
      <c r="DT31" s="126"/>
      <c r="DU31" s="126"/>
      <c r="DV31" s="126"/>
      <c r="DW31" s="126"/>
      <c r="DX31" s="126"/>
      <c r="DY31" s="126"/>
      <c r="DZ31" s="126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6"/>
      <c r="EL31" s="126"/>
      <c r="EM31" s="126"/>
      <c r="EN31" s="126"/>
      <c r="EO31" s="126"/>
      <c r="EP31" s="126"/>
      <c r="EQ31" s="126"/>
      <c r="ER31" s="126"/>
      <c r="ES31" s="126"/>
      <c r="ET31" s="126"/>
      <c r="EU31" s="126"/>
      <c r="EV31" s="126"/>
      <c r="EW31" s="126"/>
      <c r="EX31" s="126"/>
      <c r="EY31" s="126"/>
      <c r="EZ31" s="126"/>
      <c r="FA31" s="126"/>
      <c r="FB31" s="126"/>
      <c r="FC31" s="126"/>
      <c r="FD31" s="126"/>
      <c r="FE31" s="126"/>
      <c r="FF31" s="126"/>
      <c r="FG31" s="126"/>
      <c r="FH31" s="126"/>
      <c r="FI31" s="126"/>
      <c r="FJ31" s="126"/>
      <c r="FK31" s="126"/>
      <c r="FL31" s="126"/>
      <c r="FM31" s="126"/>
      <c r="FN31" s="126"/>
      <c r="FO31" s="126"/>
      <c r="FP31" s="126"/>
      <c r="FQ31" s="126"/>
      <c r="FR31" s="126"/>
      <c r="FS31" s="126"/>
      <c r="FT31" s="126"/>
      <c r="FU31" s="126"/>
      <c r="FV31" s="126"/>
      <c r="FW31" s="126"/>
      <c r="FX31" s="126"/>
      <c r="FY31" s="126"/>
      <c r="FZ31" s="126"/>
      <c r="GA31" s="126"/>
    </row>
    <row r="32" spans="1:183" ht="20.100000000000001" customHeight="1" x14ac:dyDescent="0.3">
      <c r="A32" s="142">
        <v>24</v>
      </c>
      <c r="B32" s="143"/>
      <c r="C32" s="143"/>
      <c r="D32" s="143"/>
      <c r="E32" s="144"/>
      <c r="F32" s="145"/>
      <c r="G32" s="146" t="str">
        <f t="shared" si="0"/>
        <v/>
      </c>
      <c r="H32" s="147" t="str">
        <f>IF(G32="","",SUM($G$9:G32))</f>
        <v/>
      </c>
      <c r="I32" s="148"/>
      <c r="J32" s="149"/>
      <c r="K32" s="132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</row>
    <row r="33" spans="1:183" ht="20.100000000000001" customHeight="1" x14ac:dyDescent="0.3">
      <c r="A33" s="142">
        <v>25</v>
      </c>
      <c r="B33" s="143"/>
      <c r="C33" s="143"/>
      <c r="D33" s="143"/>
      <c r="E33" s="144"/>
      <c r="F33" s="145"/>
      <c r="G33" s="146" t="str">
        <f t="shared" si="0"/>
        <v/>
      </c>
      <c r="H33" s="147" t="str">
        <f>IF(G33="","",SUM($G$9:G33))</f>
        <v/>
      </c>
      <c r="I33" s="148"/>
      <c r="J33" s="149"/>
      <c r="K33" s="132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6"/>
      <c r="CZ33" s="126"/>
      <c r="DA33" s="126"/>
      <c r="DB33" s="126"/>
      <c r="DC33" s="126"/>
      <c r="DD33" s="126"/>
      <c r="DE33" s="126"/>
      <c r="DF33" s="126"/>
      <c r="DG33" s="126"/>
      <c r="DH33" s="126"/>
      <c r="DI33" s="126"/>
      <c r="DJ33" s="126"/>
      <c r="DK33" s="126"/>
      <c r="DL33" s="126"/>
      <c r="DM33" s="126"/>
      <c r="DN33" s="126"/>
      <c r="DO33" s="126"/>
      <c r="DP33" s="126"/>
      <c r="DQ33" s="126"/>
      <c r="DR33" s="126"/>
      <c r="DS33" s="126"/>
      <c r="DT33" s="126"/>
      <c r="DU33" s="126"/>
      <c r="DV33" s="126"/>
      <c r="DW33" s="126"/>
      <c r="DX33" s="126"/>
      <c r="DY33" s="126"/>
      <c r="DZ33" s="126"/>
      <c r="EA33" s="126"/>
      <c r="EB33" s="126"/>
      <c r="EC33" s="126"/>
      <c r="ED33" s="126"/>
      <c r="EE33" s="126"/>
      <c r="EF33" s="126"/>
      <c r="EG33" s="126"/>
      <c r="EH33" s="126"/>
      <c r="EI33" s="126"/>
      <c r="EJ33" s="126"/>
      <c r="EK33" s="126"/>
      <c r="EL33" s="126"/>
      <c r="EM33" s="126"/>
      <c r="EN33" s="126"/>
      <c r="EO33" s="126"/>
      <c r="EP33" s="126"/>
      <c r="EQ33" s="126"/>
      <c r="ER33" s="126"/>
      <c r="ES33" s="126"/>
      <c r="ET33" s="126"/>
      <c r="EU33" s="126"/>
      <c r="EV33" s="126"/>
      <c r="EW33" s="126"/>
      <c r="EX33" s="126"/>
      <c r="EY33" s="126"/>
      <c r="EZ33" s="126"/>
      <c r="FA33" s="126"/>
      <c r="FB33" s="126"/>
      <c r="FC33" s="126"/>
      <c r="FD33" s="126"/>
      <c r="FE33" s="126"/>
      <c r="FF33" s="126"/>
      <c r="FG33" s="126"/>
      <c r="FH33" s="126"/>
      <c r="FI33" s="126"/>
      <c r="FJ33" s="126"/>
      <c r="FK33" s="126"/>
      <c r="FL33" s="126"/>
      <c r="FM33" s="126"/>
      <c r="FN33" s="126"/>
      <c r="FO33" s="126"/>
      <c r="FP33" s="126"/>
      <c r="FQ33" s="126"/>
      <c r="FR33" s="126"/>
      <c r="FS33" s="126"/>
      <c r="FT33" s="126"/>
      <c r="FU33" s="126"/>
      <c r="FV33" s="126"/>
      <c r="FW33" s="126"/>
      <c r="FX33" s="126"/>
      <c r="FY33" s="126"/>
      <c r="FZ33" s="126"/>
      <c r="GA33" s="126"/>
    </row>
    <row r="34" spans="1:183" ht="20.100000000000001" customHeight="1" x14ac:dyDescent="0.3">
      <c r="A34" s="142">
        <v>26</v>
      </c>
      <c r="B34" s="143"/>
      <c r="C34" s="143"/>
      <c r="D34" s="143"/>
      <c r="E34" s="144"/>
      <c r="F34" s="145"/>
      <c r="G34" s="146" t="str">
        <f t="shared" si="0"/>
        <v/>
      </c>
      <c r="H34" s="147" t="str">
        <f>IF(G34="","",SUM($G$9:G34))</f>
        <v/>
      </c>
      <c r="I34" s="148"/>
      <c r="J34" s="149"/>
      <c r="K34" s="132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  <c r="CF34" s="126"/>
      <c r="CG34" s="126"/>
      <c r="CH34" s="126"/>
      <c r="CI34" s="126"/>
      <c r="CJ34" s="126"/>
      <c r="CK34" s="126"/>
      <c r="CL34" s="126"/>
      <c r="CM34" s="126"/>
      <c r="CN34" s="126"/>
      <c r="CO34" s="126"/>
      <c r="CP34" s="126"/>
      <c r="CQ34" s="126"/>
      <c r="CR34" s="126"/>
      <c r="CS34" s="126"/>
      <c r="CT34" s="126"/>
      <c r="CU34" s="126"/>
      <c r="CV34" s="126"/>
      <c r="CW34" s="126"/>
      <c r="CX34" s="126"/>
      <c r="CY34" s="126"/>
      <c r="CZ34" s="126"/>
      <c r="DA34" s="126"/>
      <c r="DB34" s="126"/>
      <c r="DC34" s="126"/>
      <c r="DD34" s="126"/>
      <c r="DE34" s="126"/>
      <c r="DF34" s="126"/>
      <c r="DG34" s="126"/>
      <c r="DH34" s="126"/>
      <c r="DI34" s="126"/>
      <c r="DJ34" s="126"/>
      <c r="DK34" s="126"/>
      <c r="DL34" s="126"/>
      <c r="DM34" s="126"/>
      <c r="DN34" s="126"/>
      <c r="DO34" s="126"/>
      <c r="DP34" s="126"/>
      <c r="DQ34" s="126"/>
      <c r="DR34" s="126"/>
      <c r="DS34" s="126"/>
      <c r="DT34" s="126"/>
      <c r="DU34" s="126"/>
      <c r="DV34" s="126"/>
      <c r="DW34" s="126"/>
      <c r="DX34" s="126"/>
      <c r="DY34" s="126"/>
      <c r="DZ34" s="126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6"/>
      <c r="EL34" s="126"/>
      <c r="EM34" s="126"/>
      <c r="EN34" s="126"/>
      <c r="EO34" s="126"/>
      <c r="EP34" s="126"/>
      <c r="EQ34" s="126"/>
      <c r="ER34" s="126"/>
      <c r="ES34" s="126"/>
      <c r="ET34" s="126"/>
      <c r="EU34" s="126"/>
      <c r="EV34" s="126"/>
      <c r="EW34" s="126"/>
      <c r="EX34" s="126"/>
      <c r="EY34" s="126"/>
      <c r="EZ34" s="126"/>
      <c r="FA34" s="126"/>
      <c r="FB34" s="126"/>
      <c r="FC34" s="126"/>
      <c r="FD34" s="126"/>
      <c r="FE34" s="126"/>
      <c r="FF34" s="126"/>
      <c r="FG34" s="126"/>
      <c r="FH34" s="126"/>
      <c r="FI34" s="126"/>
      <c r="FJ34" s="126"/>
      <c r="FK34" s="126"/>
      <c r="FL34" s="126"/>
      <c r="FM34" s="126"/>
      <c r="FN34" s="126"/>
      <c r="FO34" s="126"/>
      <c r="FP34" s="126"/>
      <c r="FQ34" s="126"/>
      <c r="FR34" s="126"/>
      <c r="FS34" s="126"/>
      <c r="FT34" s="126"/>
      <c r="FU34" s="126"/>
      <c r="FV34" s="126"/>
      <c r="FW34" s="126"/>
      <c r="FX34" s="126"/>
      <c r="FY34" s="126"/>
      <c r="FZ34" s="126"/>
      <c r="GA34" s="126"/>
    </row>
    <row r="35" spans="1:183" ht="20.100000000000001" customHeight="1" x14ac:dyDescent="0.3">
      <c r="A35" s="142">
        <v>27</v>
      </c>
      <c r="B35" s="143"/>
      <c r="C35" s="143"/>
      <c r="D35" s="143"/>
      <c r="E35" s="144"/>
      <c r="F35" s="145"/>
      <c r="G35" s="146" t="str">
        <f t="shared" si="0"/>
        <v/>
      </c>
      <c r="H35" s="147" t="str">
        <f>IF(G35="","",SUM($G$9:G35))</f>
        <v/>
      </c>
      <c r="I35" s="148"/>
      <c r="J35" s="149"/>
      <c r="K35" s="132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</row>
    <row r="36" spans="1:183" ht="20.100000000000001" customHeight="1" x14ac:dyDescent="0.3">
      <c r="A36" s="142">
        <v>28</v>
      </c>
      <c r="B36" s="143"/>
      <c r="C36" s="143"/>
      <c r="D36" s="143"/>
      <c r="E36" s="144"/>
      <c r="F36" s="145"/>
      <c r="G36" s="146" t="str">
        <f t="shared" si="0"/>
        <v/>
      </c>
      <c r="H36" s="147" t="str">
        <f>IF(G36="","",SUM($G$9:G36))</f>
        <v/>
      </c>
      <c r="I36" s="148"/>
      <c r="J36" s="149"/>
      <c r="K36" s="132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  <c r="CF36" s="126"/>
      <c r="CG36" s="126"/>
      <c r="CH36" s="126"/>
      <c r="CI36" s="126"/>
      <c r="CJ36" s="126"/>
      <c r="CK36" s="126"/>
      <c r="CL36" s="126"/>
      <c r="CM36" s="126"/>
      <c r="CN36" s="126"/>
      <c r="CO36" s="126"/>
      <c r="CP36" s="126"/>
      <c r="CQ36" s="126"/>
      <c r="CR36" s="126"/>
      <c r="CS36" s="126"/>
      <c r="CT36" s="126"/>
      <c r="CU36" s="126"/>
      <c r="CV36" s="126"/>
      <c r="CW36" s="126"/>
      <c r="CX36" s="126"/>
      <c r="CY36" s="126"/>
      <c r="CZ36" s="126"/>
      <c r="DA36" s="126"/>
      <c r="DB36" s="126"/>
      <c r="DC36" s="126"/>
      <c r="DD36" s="126"/>
      <c r="DE36" s="126"/>
      <c r="DF36" s="126"/>
      <c r="DG36" s="126"/>
      <c r="DH36" s="126"/>
      <c r="DI36" s="126"/>
      <c r="DJ36" s="126"/>
      <c r="DK36" s="126"/>
      <c r="DL36" s="126"/>
      <c r="DM36" s="126"/>
      <c r="DN36" s="126"/>
      <c r="DO36" s="126"/>
      <c r="DP36" s="126"/>
      <c r="DQ36" s="126"/>
      <c r="DR36" s="126"/>
      <c r="DS36" s="126"/>
      <c r="DT36" s="126"/>
      <c r="DU36" s="126"/>
      <c r="DV36" s="126"/>
      <c r="DW36" s="126"/>
      <c r="DX36" s="126"/>
      <c r="DY36" s="126"/>
      <c r="DZ36" s="126"/>
      <c r="EA36" s="126"/>
      <c r="EB36" s="126"/>
      <c r="EC36" s="126"/>
      <c r="ED36" s="126"/>
      <c r="EE36" s="126"/>
      <c r="EF36" s="126"/>
      <c r="EG36" s="126"/>
      <c r="EH36" s="126"/>
      <c r="EI36" s="126"/>
      <c r="EJ36" s="126"/>
      <c r="EK36" s="126"/>
      <c r="EL36" s="126"/>
      <c r="EM36" s="126"/>
      <c r="EN36" s="126"/>
      <c r="EO36" s="126"/>
      <c r="EP36" s="126"/>
      <c r="EQ36" s="126"/>
      <c r="ER36" s="126"/>
      <c r="ES36" s="126"/>
      <c r="ET36" s="126"/>
      <c r="EU36" s="126"/>
      <c r="EV36" s="126"/>
      <c r="EW36" s="126"/>
      <c r="EX36" s="126"/>
      <c r="EY36" s="126"/>
      <c r="EZ36" s="126"/>
      <c r="FA36" s="126"/>
      <c r="FB36" s="126"/>
      <c r="FC36" s="126"/>
      <c r="FD36" s="126"/>
      <c r="FE36" s="126"/>
      <c r="FF36" s="126"/>
      <c r="FG36" s="126"/>
      <c r="FH36" s="126"/>
      <c r="FI36" s="126"/>
      <c r="FJ36" s="126"/>
      <c r="FK36" s="126"/>
      <c r="FL36" s="126"/>
      <c r="FM36" s="126"/>
      <c r="FN36" s="126"/>
      <c r="FO36" s="126"/>
      <c r="FP36" s="126"/>
      <c r="FQ36" s="126"/>
      <c r="FR36" s="126"/>
      <c r="FS36" s="126"/>
      <c r="FT36" s="126"/>
      <c r="FU36" s="126"/>
      <c r="FV36" s="126"/>
      <c r="FW36" s="126"/>
      <c r="FX36" s="126"/>
      <c r="FY36" s="126"/>
      <c r="FZ36" s="126"/>
      <c r="GA36" s="126"/>
    </row>
    <row r="37" spans="1:183" ht="20.100000000000001" customHeight="1" x14ac:dyDescent="0.3">
      <c r="A37" s="142">
        <v>29</v>
      </c>
      <c r="B37" s="143"/>
      <c r="C37" s="143"/>
      <c r="D37" s="143"/>
      <c r="E37" s="144"/>
      <c r="F37" s="145"/>
      <c r="G37" s="146" t="str">
        <f t="shared" si="0"/>
        <v/>
      </c>
      <c r="H37" s="147" t="str">
        <f>IF(G37="","",SUM($G$9:G37))</f>
        <v/>
      </c>
      <c r="I37" s="148"/>
      <c r="J37" s="149"/>
      <c r="K37" s="132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</row>
    <row r="38" spans="1:183" ht="20.100000000000001" customHeight="1" x14ac:dyDescent="0.3">
      <c r="A38" s="142">
        <v>30</v>
      </c>
      <c r="B38" s="143"/>
      <c r="C38" s="143"/>
      <c r="D38" s="143"/>
      <c r="E38" s="144"/>
      <c r="F38" s="145"/>
      <c r="G38" s="146" t="str">
        <f t="shared" si="0"/>
        <v/>
      </c>
      <c r="H38" s="147" t="str">
        <f>IF(G38="","",SUM($G$9:G38))</f>
        <v/>
      </c>
      <c r="I38" s="148"/>
      <c r="J38" s="149"/>
      <c r="K38" s="132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</row>
    <row r="39" spans="1:183" ht="20.100000000000001" customHeight="1" x14ac:dyDescent="0.3">
      <c r="A39" s="142">
        <v>31</v>
      </c>
      <c r="B39" s="143"/>
      <c r="C39" s="143"/>
      <c r="D39" s="143"/>
      <c r="E39" s="144"/>
      <c r="F39" s="145"/>
      <c r="G39" s="146" t="str">
        <f t="shared" si="0"/>
        <v/>
      </c>
      <c r="H39" s="147" t="str">
        <f>IF(G39="","",SUM($G$9:G39))</f>
        <v/>
      </c>
      <c r="I39" s="148"/>
      <c r="J39" s="149"/>
      <c r="K39" s="132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</row>
    <row r="40" spans="1:183" ht="20.100000000000001" customHeight="1" x14ac:dyDescent="0.3">
      <c r="A40" s="142">
        <v>32</v>
      </c>
      <c r="B40" s="143"/>
      <c r="C40" s="143"/>
      <c r="D40" s="143"/>
      <c r="E40" s="144"/>
      <c r="F40" s="145"/>
      <c r="G40" s="146" t="str">
        <f t="shared" si="0"/>
        <v/>
      </c>
      <c r="H40" s="147" t="str">
        <f>IF(G40="","",SUM($G$9:G40))</f>
        <v/>
      </c>
      <c r="I40" s="148"/>
      <c r="J40" s="149"/>
      <c r="K40" s="132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126"/>
      <c r="CG40" s="126"/>
      <c r="CH40" s="126"/>
      <c r="CI40" s="126"/>
      <c r="CJ40" s="126"/>
      <c r="CK40" s="126"/>
      <c r="CL40" s="126"/>
      <c r="CM40" s="126"/>
      <c r="CN40" s="126"/>
      <c r="CO40" s="126"/>
      <c r="CP40" s="126"/>
      <c r="CQ40" s="126"/>
      <c r="CR40" s="126"/>
      <c r="CS40" s="126"/>
      <c r="CT40" s="126"/>
      <c r="CU40" s="126"/>
      <c r="CV40" s="126"/>
      <c r="CW40" s="126"/>
      <c r="CX40" s="126"/>
      <c r="CY40" s="126"/>
      <c r="CZ40" s="126"/>
      <c r="DA40" s="126"/>
      <c r="DB40" s="126"/>
      <c r="DC40" s="126"/>
      <c r="DD40" s="126"/>
      <c r="DE40" s="126"/>
      <c r="DF40" s="126"/>
      <c r="DG40" s="126"/>
      <c r="DH40" s="126"/>
      <c r="DI40" s="126"/>
      <c r="DJ40" s="126"/>
      <c r="DK40" s="126"/>
      <c r="DL40" s="126"/>
      <c r="DM40" s="126"/>
      <c r="DN40" s="126"/>
      <c r="DO40" s="126"/>
      <c r="DP40" s="126"/>
      <c r="DQ40" s="126"/>
      <c r="DR40" s="126"/>
      <c r="DS40" s="126"/>
      <c r="DT40" s="126"/>
      <c r="DU40" s="126"/>
      <c r="DV40" s="126"/>
      <c r="DW40" s="126"/>
      <c r="DX40" s="126"/>
      <c r="DY40" s="126"/>
      <c r="DZ40" s="126"/>
      <c r="EA40" s="126"/>
      <c r="EB40" s="126"/>
      <c r="EC40" s="126"/>
      <c r="ED40" s="126"/>
      <c r="EE40" s="126"/>
      <c r="EF40" s="126"/>
      <c r="EG40" s="126"/>
      <c r="EH40" s="126"/>
      <c r="EI40" s="126"/>
      <c r="EJ40" s="126"/>
      <c r="EK40" s="126"/>
      <c r="EL40" s="126"/>
      <c r="EM40" s="126"/>
      <c r="EN40" s="126"/>
      <c r="EO40" s="126"/>
      <c r="EP40" s="126"/>
      <c r="EQ40" s="126"/>
      <c r="ER40" s="126"/>
      <c r="ES40" s="126"/>
      <c r="ET40" s="126"/>
      <c r="EU40" s="126"/>
      <c r="EV40" s="126"/>
      <c r="EW40" s="126"/>
      <c r="EX40" s="126"/>
      <c r="EY40" s="126"/>
      <c r="EZ40" s="126"/>
      <c r="FA40" s="126"/>
      <c r="FB40" s="126"/>
      <c r="FC40" s="126"/>
      <c r="FD40" s="126"/>
      <c r="FE40" s="126"/>
      <c r="FF40" s="126"/>
      <c r="FG40" s="126"/>
      <c r="FH40" s="126"/>
      <c r="FI40" s="126"/>
      <c r="FJ40" s="126"/>
      <c r="FK40" s="126"/>
      <c r="FL40" s="126"/>
      <c r="FM40" s="126"/>
      <c r="FN40" s="126"/>
      <c r="FO40" s="126"/>
      <c r="FP40" s="126"/>
      <c r="FQ40" s="126"/>
      <c r="FR40" s="126"/>
      <c r="FS40" s="126"/>
      <c r="FT40" s="126"/>
      <c r="FU40" s="126"/>
      <c r="FV40" s="126"/>
      <c r="FW40" s="126"/>
      <c r="FX40" s="126"/>
      <c r="FY40" s="126"/>
      <c r="FZ40" s="126"/>
      <c r="GA40" s="126"/>
    </row>
    <row r="41" spans="1:183" ht="20.100000000000001" customHeight="1" x14ac:dyDescent="0.3">
      <c r="A41" s="142">
        <v>33</v>
      </c>
      <c r="B41" s="143"/>
      <c r="C41" s="143"/>
      <c r="D41" s="143"/>
      <c r="E41" s="144"/>
      <c r="F41" s="145"/>
      <c r="G41" s="146" t="str">
        <f t="shared" si="0"/>
        <v/>
      </c>
      <c r="H41" s="147" t="str">
        <f>IF(G41="","",SUM($G$9:G41))</f>
        <v/>
      </c>
      <c r="I41" s="148"/>
      <c r="J41" s="149"/>
      <c r="K41" s="132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26"/>
      <c r="CE41" s="126"/>
      <c r="CF41" s="126"/>
      <c r="CG41" s="126"/>
      <c r="CH41" s="126"/>
      <c r="CI41" s="126"/>
      <c r="CJ41" s="126"/>
      <c r="CK41" s="126"/>
      <c r="CL41" s="126"/>
      <c r="CM41" s="126"/>
      <c r="CN41" s="126"/>
      <c r="CO41" s="126"/>
      <c r="CP41" s="126"/>
      <c r="CQ41" s="126"/>
      <c r="CR41" s="126"/>
      <c r="CS41" s="126"/>
      <c r="CT41" s="126"/>
      <c r="CU41" s="126"/>
      <c r="CV41" s="126"/>
      <c r="CW41" s="126"/>
      <c r="CX41" s="126"/>
      <c r="CY41" s="126"/>
      <c r="CZ41" s="126"/>
      <c r="DA41" s="126"/>
      <c r="DB41" s="126"/>
      <c r="DC41" s="126"/>
      <c r="DD41" s="126"/>
      <c r="DE41" s="126"/>
      <c r="DF41" s="126"/>
      <c r="DG41" s="126"/>
      <c r="DH41" s="126"/>
      <c r="DI41" s="126"/>
      <c r="DJ41" s="126"/>
      <c r="DK41" s="126"/>
      <c r="DL41" s="126"/>
      <c r="DM41" s="126"/>
      <c r="DN41" s="126"/>
      <c r="DO41" s="126"/>
      <c r="DP41" s="126"/>
      <c r="DQ41" s="126"/>
      <c r="DR41" s="126"/>
      <c r="DS41" s="126"/>
      <c r="DT41" s="126"/>
      <c r="DU41" s="126"/>
      <c r="DV41" s="126"/>
      <c r="DW41" s="126"/>
      <c r="DX41" s="126"/>
      <c r="DY41" s="126"/>
      <c r="DZ41" s="126"/>
      <c r="EA41" s="126"/>
      <c r="EB41" s="126"/>
      <c r="EC41" s="126"/>
      <c r="ED41" s="126"/>
      <c r="EE41" s="126"/>
      <c r="EF41" s="126"/>
      <c r="EG41" s="126"/>
      <c r="EH41" s="126"/>
      <c r="EI41" s="126"/>
      <c r="EJ41" s="126"/>
      <c r="EK41" s="126"/>
      <c r="EL41" s="126"/>
      <c r="EM41" s="126"/>
      <c r="EN41" s="126"/>
      <c r="EO41" s="126"/>
      <c r="EP41" s="126"/>
      <c r="EQ41" s="126"/>
      <c r="ER41" s="126"/>
      <c r="ES41" s="126"/>
      <c r="ET41" s="126"/>
      <c r="EU41" s="126"/>
      <c r="EV41" s="126"/>
      <c r="EW41" s="126"/>
      <c r="EX41" s="126"/>
      <c r="EY41" s="126"/>
      <c r="EZ41" s="126"/>
      <c r="FA41" s="126"/>
      <c r="FB41" s="126"/>
      <c r="FC41" s="126"/>
      <c r="FD41" s="126"/>
      <c r="FE41" s="126"/>
      <c r="FF41" s="126"/>
      <c r="FG41" s="126"/>
      <c r="FH41" s="126"/>
      <c r="FI41" s="126"/>
      <c r="FJ41" s="126"/>
      <c r="FK41" s="126"/>
      <c r="FL41" s="126"/>
      <c r="FM41" s="126"/>
      <c r="FN41" s="126"/>
      <c r="FO41" s="126"/>
      <c r="FP41" s="126"/>
      <c r="FQ41" s="126"/>
      <c r="FR41" s="126"/>
      <c r="FS41" s="126"/>
      <c r="FT41" s="126"/>
      <c r="FU41" s="126"/>
      <c r="FV41" s="126"/>
      <c r="FW41" s="126"/>
      <c r="FX41" s="126"/>
      <c r="FY41" s="126"/>
      <c r="FZ41" s="126"/>
      <c r="GA41" s="126"/>
    </row>
    <row r="42" spans="1:183" ht="20.100000000000001" customHeight="1" x14ac:dyDescent="0.3">
      <c r="A42" s="142">
        <v>34</v>
      </c>
      <c r="B42" s="143"/>
      <c r="C42" s="143"/>
      <c r="D42" s="143"/>
      <c r="E42" s="144"/>
      <c r="F42" s="145"/>
      <c r="G42" s="146" t="str">
        <f t="shared" si="0"/>
        <v/>
      </c>
      <c r="H42" s="147" t="str">
        <f>IF(G42="","",SUM($G$9:G42))</f>
        <v/>
      </c>
      <c r="I42" s="148"/>
      <c r="J42" s="149"/>
      <c r="K42" s="132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126"/>
      <c r="CM42" s="126"/>
      <c r="CN42" s="126"/>
      <c r="CO42" s="126"/>
      <c r="CP42" s="126"/>
      <c r="CQ42" s="126"/>
      <c r="CR42" s="126"/>
      <c r="CS42" s="126"/>
      <c r="CT42" s="126"/>
      <c r="CU42" s="126"/>
      <c r="CV42" s="126"/>
      <c r="CW42" s="126"/>
      <c r="CX42" s="126"/>
      <c r="CY42" s="126"/>
      <c r="CZ42" s="126"/>
      <c r="DA42" s="126"/>
      <c r="DB42" s="126"/>
      <c r="DC42" s="126"/>
      <c r="DD42" s="126"/>
      <c r="DE42" s="126"/>
      <c r="DF42" s="126"/>
      <c r="DG42" s="126"/>
      <c r="DH42" s="126"/>
      <c r="DI42" s="126"/>
      <c r="DJ42" s="126"/>
      <c r="DK42" s="126"/>
      <c r="DL42" s="126"/>
      <c r="DM42" s="126"/>
      <c r="DN42" s="126"/>
      <c r="DO42" s="126"/>
      <c r="DP42" s="126"/>
      <c r="DQ42" s="126"/>
      <c r="DR42" s="126"/>
      <c r="DS42" s="126"/>
      <c r="DT42" s="126"/>
      <c r="DU42" s="126"/>
      <c r="DV42" s="126"/>
      <c r="DW42" s="126"/>
      <c r="DX42" s="126"/>
      <c r="DY42" s="126"/>
      <c r="DZ42" s="126"/>
      <c r="EA42" s="126"/>
      <c r="EB42" s="126"/>
      <c r="EC42" s="126"/>
      <c r="ED42" s="126"/>
      <c r="EE42" s="126"/>
      <c r="EF42" s="126"/>
      <c r="EG42" s="126"/>
      <c r="EH42" s="126"/>
      <c r="EI42" s="126"/>
      <c r="EJ42" s="126"/>
      <c r="EK42" s="126"/>
      <c r="EL42" s="126"/>
      <c r="EM42" s="126"/>
      <c r="EN42" s="126"/>
      <c r="EO42" s="126"/>
      <c r="EP42" s="126"/>
      <c r="EQ42" s="126"/>
      <c r="ER42" s="126"/>
      <c r="ES42" s="126"/>
      <c r="ET42" s="126"/>
      <c r="EU42" s="126"/>
      <c r="EV42" s="126"/>
      <c r="EW42" s="126"/>
      <c r="EX42" s="126"/>
      <c r="EY42" s="126"/>
      <c r="EZ42" s="126"/>
      <c r="FA42" s="126"/>
      <c r="FB42" s="126"/>
      <c r="FC42" s="126"/>
      <c r="FD42" s="126"/>
      <c r="FE42" s="126"/>
      <c r="FF42" s="126"/>
      <c r="FG42" s="126"/>
      <c r="FH42" s="126"/>
      <c r="FI42" s="126"/>
      <c r="FJ42" s="126"/>
      <c r="FK42" s="126"/>
      <c r="FL42" s="126"/>
      <c r="FM42" s="126"/>
      <c r="FN42" s="126"/>
      <c r="FO42" s="126"/>
      <c r="FP42" s="126"/>
      <c r="FQ42" s="126"/>
      <c r="FR42" s="126"/>
      <c r="FS42" s="126"/>
      <c r="FT42" s="126"/>
      <c r="FU42" s="126"/>
      <c r="FV42" s="126"/>
      <c r="FW42" s="126"/>
      <c r="FX42" s="126"/>
      <c r="FY42" s="126"/>
      <c r="FZ42" s="126"/>
      <c r="GA42" s="126"/>
    </row>
    <row r="43" spans="1:183" ht="20.100000000000001" customHeight="1" x14ac:dyDescent="0.3">
      <c r="A43" s="142">
        <v>35</v>
      </c>
      <c r="B43" s="143"/>
      <c r="C43" s="143"/>
      <c r="D43" s="143"/>
      <c r="E43" s="144"/>
      <c r="F43" s="145"/>
      <c r="G43" s="146" t="str">
        <f t="shared" si="0"/>
        <v/>
      </c>
      <c r="H43" s="147" t="str">
        <f>IF(G43="","",SUM($G$9:G43))</f>
        <v/>
      </c>
      <c r="I43" s="148"/>
      <c r="J43" s="149"/>
      <c r="K43" s="132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126"/>
      <c r="CG43" s="126"/>
      <c r="CH43" s="126"/>
      <c r="CI43" s="126"/>
      <c r="CJ43" s="126"/>
      <c r="CK43" s="126"/>
      <c r="CL43" s="126"/>
      <c r="CM43" s="126"/>
      <c r="CN43" s="126"/>
      <c r="CO43" s="126"/>
      <c r="CP43" s="126"/>
      <c r="CQ43" s="126"/>
      <c r="CR43" s="126"/>
      <c r="CS43" s="126"/>
      <c r="CT43" s="126"/>
      <c r="CU43" s="126"/>
      <c r="CV43" s="126"/>
      <c r="CW43" s="126"/>
      <c r="CX43" s="126"/>
      <c r="CY43" s="126"/>
      <c r="CZ43" s="126"/>
      <c r="DA43" s="126"/>
      <c r="DB43" s="126"/>
      <c r="DC43" s="126"/>
      <c r="DD43" s="126"/>
      <c r="DE43" s="126"/>
      <c r="DF43" s="126"/>
      <c r="DG43" s="126"/>
      <c r="DH43" s="126"/>
      <c r="DI43" s="126"/>
      <c r="DJ43" s="126"/>
      <c r="DK43" s="126"/>
      <c r="DL43" s="126"/>
      <c r="DM43" s="126"/>
      <c r="DN43" s="126"/>
      <c r="DO43" s="126"/>
      <c r="DP43" s="126"/>
      <c r="DQ43" s="126"/>
      <c r="DR43" s="126"/>
      <c r="DS43" s="126"/>
      <c r="DT43" s="126"/>
      <c r="DU43" s="126"/>
      <c r="DV43" s="126"/>
      <c r="DW43" s="126"/>
      <c r="DX43" s="126"/>
      <c r="DY43" s="126"/>
      <c r="DZ43" s="126"/>
      <c r="EA43" s="126"/>
      <c r="EB43" s="126"/>
      <c r="EC43" s="126"/>
      <c r="ED43" s="126"/>
      <c r="EE43" s="126"/>
      <c r="EF43" s="126"/>
      <c r="EG43" s="126"/>
      <c r="EH43" s="126"/>
      <c r="EI43" s="126"/>
      <c r="EJ43" s="126"/>
      <c r="EK43" s="126"/>
      <c r="EL43" s="126"/>
      <c r="EM43" s="126"/>
      <c r="EN43" s="126"/>
      <c r="EO43" s="126"/>
      <c r="EP43" s="126"/>
      <c r="EQ43" s="126"/>
      <c r="ER43" s="126"/>
      <c r="ES43" s="126"/>
      <c r="ET43" s="126"/>
      <c r="EU43" s="126"/>
      <c r="EV43" s="126"/>
      <c r="EW43" s="126"/>
      <c r="EX43" s="126"/>
      <c r="EY43" s="126"/>
      <c r="EZ43" s="126"/>
      <c r="FA43" s="126"/>
      <c r="FB43" s="126"/>
      <c r="FC43" s="126"/>
      <c r="FD43" s="126"/>
      <c r="FE43" s="126"/>
      <c r="FF43" s="126"/>
      <c r="FG43" s="126"/>
      <c r="FH43" s="126"/>
      <c r="FI43" s="126"/>
      <c r="FJ43" s="126"/>
      <c r="FK43" s="126"/>
      <c r="FL43" s="126"/>
      <c r="FM43" s="126"/>
      <c r="FN43" s="126"/>
      <c r="FO43" s="126"/>
      <c r="FP43" s="126"/>
      <c r="FQ43" s="126"/>
      <c r="FR43" s="126"/>
      <c r="FS43" s="126"/>
      <c r="FT43" s="126"/>
      <c r="FU43" s="126"/>
      <c r="FV43" s="126"/>
      <c r="FW43" s="126"/>
      <c r="FX43" s="126"/>
      <c r="FY43" s="126"/>
      <c r="FZ43" s="126"/>
      <c r="GA43" s="126"/>
    </row>
    <row r="44" spans="1:183" ht="20.100000000000001" customHeight="1" x14ac:dyDescent="0.3">
      <c r="A44" s="142">
        <v>36</v>
      </c>
      <c r="B44" s="143"/>
      <c r="C44" s="143"/>
      <c r="D44" s="143"/>
      <c r="E44" s="144"/>
      <c r="F44" s="145"/>
      <c r="G44" s="146" t="str">
        <f t="shared" si="0"/>
        <v/>
      </c>
      <c r="H44" s="147" t="str">
        <f>IF(G44="","",SUM($G$9:G44))</f>
        <v/>
      </c>
      <c r="I44" s="148"/>
      <c r="J44" s="149"/>
      <c r="K44" s="132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126"/>
      <c r="CM44" s="126"/>
      <c r="CN44" s="126"/>
      <c r="CO44" s="126"/>
      <c r="CP44" s="126"/>
      <c r="CQ44" s="126"/>
      <c r="CR44" s="126"/>
      <c r="CS44" s="126"/>
      <c r="CT44" s="126"/>
      <c r="CU44" s="126"/>
      <c r="CV44" s="126"/>
      <c r="CW44" s="126"/>
      <c r="CX44" s="126"/>
      <c r="CY44" s="126"/>
      <c r="CZ44" s="126"/>
      <c r="DA44" s="126"/>
      <c r="DB44" s="126"/>
      <c r="DC44" s="126"/>
      <c r="DD44" s="126"/>
      <c r="DE44" s="126"/>
      <c r="DF44" s="126"/>
      <c r="DG44" s="126"/>
      <c r="DH44" s="126"/>
      <c r="DI44" s="126"/>
      <c r="DJ44" s="126"/>
      <c r="DK44" s="126"/>
      <c r="DL44" s="126"/>
      <c r="DM44" s="126"/>
      <c r="DN44" s="126"/>
      <c r="DO44" s="126"/>
      <c r="DP44" s="126"/>
      <c r="DQ44" s="126"/>
      <c r="DR44" s="126"/>
      <c r="DS44" s="126"/>
      <c r="DT44" s="126"/>
      <c r="DU44" s="126"/>
      <c r="DV44" s="126"/>
      <c r="DW44" s="126"/>
      <c r="DX44" s="126"/>
      <c r="DY44" s="126"/>
      <c r="DZ44" s="126"/>
      <c r="EA44" s="126"/>
      <c r="EB44" s="126"/>
      <c r="EC44" s="126"/>
      <c r="ED44" s="126"/>
      <c r="EE44" s="126"/>
      <c r="EF44" s="126"/>
      <c r="EG44" s="126"/>
      <c r="EH44" s="126"/>
      <c r="EI44" s="126"/>
      <c r="EJ44" s="126"/>
      <c r="EK44" s="126"/>
      <c r="EL44" s="126"/>
      <c r="EM44" s="126"/>
      <c r="EN44" s="126"/>
      <c r="EO44" s="126"/>
      <c r="EP44" s="126"/>
      <c r="EQ44" s="126"/>
      <c r="ER44" s="126"/>
      <c r="ES44" s="126"/>
      <c r="ET44" s="126"/>
      <c r="EU44" s="126"/>
      <c r="EV44" s="126"/>
      <c r="EW44" s="126"/>
      <c r="EX44" s="126"/>
      <c r="EY44" s="126"/>
      <c r="EZ44" s="126"/>
      <c r="FA44" s="126"/>
      <c r="FB44" s="126"/>
      <c r="FC44" s="126"/>
      <c r="FD44" s="126"/>
      <c r="FE44" s="126"/>
      <c r="FF44" s="126"/>
      <c r="FG44" s="126"/>
      <c r="FH44" s="126"/>
      <c r="FI44" s="126"/>
      <c r="FJ44" s="126"/>
      <c r="FK44" s="126"/>
      <c r="FL44" s="126"/>
      <c r="FM44" s="126"/>
      <c r="FN44" s="126"/>
      <c r="FO44" s="126"/>
      <c r="FP44" s="126"/>
      <c r="FQ44" s="126"/>
      <c r="FR44" s="126"/>
      <c r="FS44" s="126"/>
      <c r="FT44" s="126"/>
      <c r="FU44" s="126"/>
      <c r="FV44" s="126"/>
      <c r="FW44" s="126"/>
      <c r="FX44" s="126"/>
      <c r="FY44" s="126"/>
      <c r="FZ44" s="126"/>
      <c r="GA44" s="126"/>
    </row>
    <row r="45" spans="1:183" ht="20.100000000000001" customHeight="1" x14ac:dyDescent="0.3">
      <c r="A45" s="142">
        <v>37</v>
      </c>
      <c r="B45" s="143"/>
      <c r="C45" s="143"/>
      <c r="D45" s="143"/>
      <c r="E45" s="144"/>
      <c r="F45" s="145"/>
      <c r="G45" s="146" t="str">
        <f t="shared" si="0"/>
        <v/>
      </c>
      <c r="H45" s="147" t="str">
        <f>IF(G45="","",SUM($G$9:G45))</f>
        <v/>
      </c>
      <c r="I45" s="148"/>
      <c r="J45" s="149"/>
      <c r="K45" s="132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6"/>
      <c r="BT45" s="126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126"/>
      <c r="CM45" s="126"/>
      <c r="CN45" s="126"/>
      <c r="CO45" s="126"/>
      <c r="CP45" s="126"/>
      <c r="CQ45" s="126"/>
      <c r="CR45" s="126"/>
      <c r="CS45" s="126"/>
      <c r="CT45" s="126"/>
      <c r="CU45" s="126"/>
      <c r="CV45" s="126"/>
      <c r="CW45" s="126"/>
      <c r="CX45" s="126"/>
      <c r="CY45" s="126"/>
      <c r="CZ45" s="126"/>
      <c r="DA45" s="126"/>
      <c r="DB45" s="126"/>
      <c r="DC45" s="126"/>
      <c r="DD45" s="126"/>
      <c r="DE45" s="126"/>
      <c r="DF45" s="126"/>
      <c r="DG45" s="126"/>
      <c r="DH45" s="126"/>
      <c r="DI45" s="126"/>
      <c r="DJ45" s="126"/>
      <c r="DK45" s="126"/>
      <c r="DL45" s="126"/>
      <c r="DM45" s="126"/>
      <c r="DN45" s="126"/>
      <c r="DO45" s="126"/>
      <c r="DP45" s="126"/>
      <c r="DQ45" s="126"/>
      <c r="DR45" s="126"/>
      <c r="DS45" s="126"/>
      <c r="DT45" s="126"/>
      <c r="DU45" s="126"/>
      <c r="DV45" s="126"/>
      <c r="DW45" s="126"/>
      <c r="DX45" s="126"/>
      <c r="DY45" s="126"/>
      <c r="DZ45" s="126"/>
      <c r="EA45" s="126"/>
      <c r="EB45" s="126"/>
      <c r="EC45" s="126"/>
      <c r="ED45" s="126"/>
      <c r="EE45" s="126"/>
      <c r="EF45" s="126"/>
      <c r="EG45" s="126"/>
      <c r="EH45" s="126"/>
      <c r="EI45" s="126"/>
      <c r="EJ45" s="126"/>
      <c r="EK45" s="126"/>
      <c r="EL45" s="126"/>
      <c r="EM45" s="126"/>
      <c r="EN45" s="126"/>
      <c r="EO45" s="126"/>
      <c r="EP45" s="126"/>
      <c r="EQ45" s="126"/>
      <c r="ER45" s="126"/>
      <c r="ES45" s="126"/>
      <c r="ET45" s="126"/>
      <c r="EU45" s="126"/>
      <c r="EV45" s="126"/>
      <c r="EW45" s="126"/>
      <c r="EX45" s="126"/>
      <c r="EY45" s="126"/>
      <c r="EZ45" s="126"/>
      <c r="FA45" s="126"/>
      <c r="FB45" s="126"/>
      <c r="FC45" s="126"/>
      <c r="FD45" s="126"/>
      <c r="FE45" s="126"/>
      <c r="FF45" s="126"/>
      <c r="FG45" s="126"/>
      <c r="FH45" s="126"/>
      <c r="FI45" s="126"/>
      <c r="FJ45" s="126"/>
      <c r="FK45" s="126"/>
      <c r="FL45" s="126"/>
      <c r="FM45" s="126"/>
      <c r="FN45" s="126"/>
      <c r="FO45" s="126"/>
      <c r="FP45" s="126"/>
      <c r="FQ45" s="126"/>
      <c r="FR45" s="126"/>
      <c r="FS45" s="126"/>
      <c r="FT45" s="126"/>
      <c r="FU45" s="126"/>
      <c r="FV45" s="126"/>
      <c r="FW45" s="126"/>
      <c r="FX45" s="126"/>
      <c r="FY45" s="126"/>
      <c r="FZ45" s="126"/>
      <c r="GA45" s="126"/>
    </row>
    <row r="46" spans="1:183" ht="20.100000000000001" customHeight="1" x14ac:dyDescent="0.3">
      <c r="A46" s="142">
        <v>38</v>
      </c>
      <c r="B46" s="143"/>
      <c r="C46" s="143"/>
      <c r="D46" s="143"/>
      <c r="E46" s="144"/>
      <c r="F46" s="145"/>
      <c r="G46" s="146" t="str">
        <f t="shared" si="0"/>
        <v/>
      </c>
      <c r="H46" s="147" t="str">
        <f>IF(G46="","",SUM($G$9:G46))</f>
        <v/>
      </c>
      <c r="I46" s="148"/>
      <c r="J46" s="149"/>
      <c r="K46" s="132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126"/>
      <c r="BS46" s="126"/>
      <c r="BT46" s="126"/>
      <c r="BU46" s="126"/>
      <c r="BV46" s="126"/>
      <c r="BW46" s="126"/>
      <c r="BX46" s="126"/>
      <c r="BY46" s="126"/>
      <c r="BZ46" s="126"/>
      <c r="CA46" s="126"/>
      <c r="CB46" s="126"/>
      <c r="CC46" s="126"/>
      <c r="CD46" s="126"/>
      <c r="CE46" s="126"/>
      <c r="CF46" s="126"/>
      <c r="CG46" s="126"/>
      <c r="CH46" s="126"/>
      <c r="CI46" s="126"/>
      <c r="CJ46" s="126"/>
      <c r="CK46" s="126"/>
      <c r="CL46" s="126"/>
      <c r="CM46" s="126"/>
      <c r="CN46" s="126"/>
      <c r="CO46" s="126"/>
      <c r="CP46" s="126"/>
      <c r="CQ46" s="126"/>
      <c r="CR46" s="126"/>
      <c r="CS46" s="126"/>
      <c r="CT46" s="126"/>
      <c r="CU46" s="126"/>
      <c r="CV46" s="126"/>
      <c r="CW46" s="126"/>
      <c r="CX46" s="126"/>
      <c r="CY46" s="126"/>
      <c r="CZ46" s="126"/>
      <c r="DA46" s="126"/>
      <c r="DB46" s="126"/>
      <c r="DC46" s="126"/>
      <c r="DD46" s="126"/>
      <c r="DE46" s="126"/>
      <c r="DF46" s="126"/>
      <c r="DG46" s="126"/>
      <c r="DH46" s="126"/>
      <c r="DI46" s="126"/>
      <c r="DJ46" s="126"/>
      <c r="DK46" s="126"/>
      <c r="DL46" s="126"/>
      <c r="DM46" s="126"/>
      <c r="DN46" s="126"/>
      <c r="DO46" s="126"/>
      <c r="DP46" s="126"/>
      <c r="DQ46" s="126"/>
      <c r="DR46" s="126"/>
      <c r="DS46" s="126"/>
      <c r="DT46" s="126"/>
      <c r="DU46" s="126"/>
      <c r="DV46" s="126"/>
      <c r="DW46" s="126"/>
      <c r="DX46" s="126"/>
      <c r="DY46" s="126"/>
      <c r="DZ46" s="126"/>
      <c r="EA46" s="126"/>
      <c r="EB46" s="126"/>
      <c r="EC46" s="126"/>
      <c r="ED46" s="126"/>
      <c r="EE46" s="126"/>
      <c r="EF46" s="126"/>
      <c r="EG46" s="126"/>
      <c r="EH46" s="126"/>
      <c r="EI46" s="126"/>
      <c r="EJ46" s="126"/>
      <c r="EK46" s="126"/>
      <c r="EL46" s="126"/>
      <c r="EM46" s="126"/>
      <c r="EN46" s="126"/>
      <c r="EO46" s="126"/>
      <c r="EP46" s="126"/>
      <c r="EQ46" s="126"/>
      <c r="ER46" s="126"/>
      <c r="ES46" s="126"/>
      <c r="ET46" s="126"/>
      <c r="EU46" s="126"/>
      <c r="EV46" s="126"/>
      <c r="EW46" s="126"/>
      <c r="EX46" s="126"/>
      <c r="EY46" s="126"/>
      <c r="EZ46" s="126"/>
      <c r="FA46" s="126"/>
      <c r="FB46" s="126"/>
      <c r="FC46" s="126"/>
      <c r="FD46" s="126"/>
      <c r="FE46" s="126"/>
      <c r="FF46" s="126"/>
      <c r="FG46" s="126"/>
      <c r="FH46" s="126"/>
      <c r="FI46" s="126"/>
      <c r="FJ46" s="126"/>
      <c r="FK46" s="126"/>
      <c r="FL46" s="126"/>
      <c r="FM46" s="126"/>
      <c r="FN46" s="126"/>
      <c r="FO46" s="126"/>
      <c r="FP46" s="126"/>
      <c r="FQ46" s="126"/>
      <c r="FR46" s="126"/>
      <c r="FS46" s="126"/>
      <c r="FT46" s="126"/>
      <c r="FU46" s="126"/>
      <c r="FV46" s="126"/>
      <c r="FW46" s="126"/>
      <c r="FX46" s="126"/>
      <c r="FY46" s="126"/>
      <c r="FZ46" s="126"/>
      <c r="GA46" s="126"/>
    </row>
    <row r="47" spans="1:183" ht="20.100000000000001" customHeight="1" x14ac:dyDescent="0.3">
      <c r="A47" s="142">
        <v>39</v>
      </c>
      <c r="B47" s="143"/>
      <c r="C47" s="143"/>
      <c r="D47" s="143"/>
      <c r="E47" s="144"/>
      <c r="F47" s="145"/>
      <c r="G47" s="146" t="str">
        <f t="shared" si="0"/>
        <v/>
      </c>
      <c r="H47" s="147" t="str">
        <f>IF(G47="","",SUM($G$9:G47))</f>
        <v/>
      </c>
      <c r="I47" s="148"/>
      <c r="J47" s="149"/>
      <c r="K47" s="132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26"/>
      <c r="BV47" s="126"/>
      <c r="BW47" s="126"/>
      <c r="BX47" s="126"/>
      <c r="BY47" s="126"/>
      <c r="BZ47" s="12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126"/>
      <c r="CM47" s="126"/>
      <c r="CN47" s="126"/>
      <c r="CO47" s="126"/>
      <c r="CP47" s="126"/>
      <c r="CQ47" s="126"/>
      <c r="CR47" s="126"/>
      <c r="CS47" s="126"/>
      <c r="CT47" s="126"/>
      <c r="CU47" s="126"/>
      <c r="CV47" s="126"/>
      <c r="CW47" s="126"/>
      <c r="CX47" s="126"/>
      <c r="CY47" s="126"/>
      <c r="CZ47" s="126"/>
      <c r="DA47" s="126"/>
      <c r="DB47" s="126"/>
      <c r="DC47" s="126"/>
      <c r="DD47" s="126"/>
      <c r="DE47" s="126"/>
      <c r="DF47" s="126"/>
      <c r="DG47" s="126"/>
      <c r="DH47" s="126"/>
      <c r="DI47" s="126"/>
      <c r="DJ47" s="126"/>
      <c r="DK47" s="126"/>
      <c r="DL47" s="126"/>
      <c r="DM47" s="126"/>
      <c r="DN47" s="126"/>
      <c r="DO47" s="126"/>
      <c r="DP47" s="126"/>
      <c r="DQ47" s="126"/>
      <c r="DR47" s="126"/>
      <c r="DS47" s="126"/>
      <c r="DT47" s="126"/>
      <c r="DU47" s="126"/>
      <c r="DV47" s="126"/>
      <c r="DW47" s="126"/>
      <c r="DX47" s="126"/>
      <c r="DY47" s="126"/>
      <c r="DZ47" s="126"/>
      <c r="EA47" s="126"/>
      <c r="EB47" s="126"/>
      <c r="EC47" s="126"/>
      <c r="ED47" s="126"/>
      <c r="EE47" s="126"/>
      <c r="EF47" s="126"/>
      <c r="EG47" s="126"/>
      <c r="EH47" s="126"/>
      <c r="EI47" s="126"/>
      <c r="EJ47" s="126"/>
      <c r="EK47" s="126"/>
      <c r="EL47" s="126"/>
      <c r="EM47" s="126"/>
      <c r="EN47" s="126"/>
      <c r="EO47" s="126"/>
      <c r="EP47" s="126"/>
      <c r="EQ47" s="126"/>
      <c r="ER47" s="126"/>
      <c r="ES47" s="126"/>
      <c r="ET47" s="126"/>
      <c r="EU47" s="126"/>
      <c r="EV47" s="126"/>
      <c r="EW47" s="126"/>
      <c r="EX47" s="126"/>
      <c r="EY47" s="126"/>
      <c r="EZ47" s="126"/>
      <c r="FA47" s="126"/>
      <c r="FB47" s="126"/>
      <c r="FC47" s="126"/>
      <c r="FD47" s="126"/>
      <c r="FE47" s="126"/>
      <c r="FF47" s="126"/>
      <c r="FG47" s="126"/>
      <c r="FH47" s="126"/>
      <c r="FI47" s="126"/>
      <c r="FJ47" s="126"/>
      <c r="FK47" s="126"/>
      <c r="FL47" s="126"/>
      <c r="FM47" s="126"/>
      <c r="FN47" s="126"/>
      <c r="FO47" s="126"/>
      <c r="FP47" s="126"/>
      <c r="FQ47" s="126"/>
      <c r="FR47" s="126"/>
      <c r="FS47" s="126"/>
      <c r="FT47" s="126"/>
      <c r="FU47" s="126"/>
      <c r="FV47" s="126"/>
      <c r="FW47" s="126"/>
      <c r="FX47" s="126"/>
      <c r="FY47" s="126"/>
      <c r="FZ47" s="126"/>
      <c r="GA47" s="126"/>
    </row>
    <row r="48" spans="1:183" ht="20.100000000000001" customHeight="1" x14ac:dyDescent="0.3">
      <c r="A48" s="142">
        <v>40</v>
      </c>
      <c r="B48" s="143"/>
      <c r="C48" s="143"/>
      <c r="D48" s="143"/>
      <c r="E48" s="144"/>
      <c r="F48" s="145"/>
      <c r="G48" s="146" t="str">
        <f t="shared" si="0"/>
        <v/>
      </c>
      <c r="H48" s="147" t="str">
        <f>IF(G48="","",SUM($G$9:G48))</f>
        <v/>
      </c>
      <c r="I48" s="148"/>
      <c r="J48" s="149"/>
      <c r="K48" s="132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6"/>
      <c r="BT48" s="126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126"/>
      <c r="CG48" s="126"/>
      <c r="CH48" s="126"/>
      <c r="CI48" s="126"/>
      <c r="CJ48" s="126"/>
      <c r="CK48" s="126"/>
      <c r="CL48" s="126"/>
      <c r="CM48" s="126"/>
      <c r="CN48" s="126"/>
      <c r="CO48" s="126"/>
      <c r="CP48" s="126"/>
      <c r="CQ48" s="126"/>
      <c r="CR48" s="126"/>
      <c r="CS48" s="126"/>
      <c r="CT48" s="126"/>
      <c r="CU48" s="126"/>
      <c r="CV48" s="126"/>
      <c r="CW48" s="126"/>
      <c r="CX48" s="126"/>
      <c r="CY48" s="126"/>
      <c r="CZ48" s="126"/>
      <c r="DA48" s="126"/>
      <c r="DB48" s="126"/>
      <c r="DC48" s="126"/>
      <c r="DD48" s="126"/>
      <c r="DE48" s="126"/>
      <c r="DF48" s="126"/>
      <c r="DG48" s="126"/>
      <c r="DH48" s="126"/>
      <c r="DI48" s="126"/>
      <c r="DJ48" s="126"/>
      <c r="DK48" s="126"/>
      <c r="DL48" s="126"/>
      <c r="DM48" s="126"/>
      <c r="DN48" s="126"/>
      <c r="DO48" s="126"/>
      <c r="DP48" s="126"/>
      <c r="DQ48" s="126"/>
      <c r="DR48" s="126"/>
      <c r="DS48" s="126"/>
      <c r="DT48" s="126"/>
      <c r="DU48" s="126"/>
      <c r="DV48" s="126"/>
      <c r="DW48" s="126"/>
      <c r="DX48" s="126"/>
      <c r="DY48" s="126"/>
      <c r="DZ48" s="126"/>
      <c r="EA48" s="126"/>
      <c r="EB48" s="126"/>
      <c r="EC48" s="126"/>
      <c r="ED48" s="126"/>
      <c r="EE48" s="126"/>
      <c r="EF48" s="126"/>
      <c r="EG48" s="126"/>
      <c r="EH48" s="126"/>
      <c r="EI48" s="126"/>
      <c r="EJ48" s="126"/>
      <c r="EK48" s="126"/>
      <c r="EL48" s="126"/>
      <c r="EM48" s="126"/>
      <c r="EN48" s="126"/>
      <c r="EO48" s="126"/>
      <c r="EP48" s="126"/>
      <c r="EQ48" s="126"/>
      <c r="ER48" s="126"/>
      <c r="ES48" s="126"/>
      <c r="ET48" s="126"/>
      <c r="EU48" s="126"/>
      <c r="EV48" s="126"/>
      <c r="EW48" s="126"/>
      <c r="EX48" s="126"/>
      <c r="EY48" s="126"/>
      <c r="EZ48" s="126"/>
      <c r="FA48" s="126"/>
      <c r="FB48" s="126"/>
      <c r="FC48" s="126"/>
      <c r="FD48" s="126"/>
      <c r="FE48" s="126"/>
      <c r="FF48" s="126"/>
      <c r="FG48" s="126"/>
      <c r="FH48" s="126"/>
      <c r="FI48" s="126"/>
      <c r="FJ48" s="126"/>
      <c r="FK48" s="126"/>
      <c r="FL48" s="126"/>
      <c r="FM48" s="126"/>
      <c r="FN48" s="126"/>
      <c r="FO48" s="126"/>
      <c r="FP48" s="126"/>
      <c r="FQ48" s="126"/>
      <c r="FR48" s="126"/>
      <c r="FS48" s="126"/>
      <c r="FT48" s="126"/>
      <c r="FU48" s="126"/>
      <c r="FV48" s="126"/>
      <c r="FW48" s="126"/>
      <c r="FX48" s="126"/>
      <c r="FY48" s="126"/>
      <c r="FZ48" s="126"/>
      <c r="GA48" s="126"/>
    </row>
    <row r="49" spans="1:183" ht="20.100000000000001" customHeight="1" x14ac:dyDescent="0.3">
      <c r="A49" s="142">
        <v>41</v>
      </c>
      <c r="B49" s="143"/>
      <c r="C49" s="143"/>
      <c r="D49" s="143"/>
      <c r="E49" s="144"/>
      <c r="F49" s="145"/>
      <c r="G49" s="146" t="str">
        <f t="shared" si="0"/>
        <v/>
      </c>
      <c r="H49" s="147" t="str">
        <f>IF(G49="","",SUM($G$9:G49))</f>
        <v/>
      </c>
      <c r="I49" s="148"/>
      <c r="J49" s="149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126"/>
      <c r="BS49" s="126"/>
      <c r="BT49" s="126"/>
      <c r="BU49" s="126"/>
      <c r="BV49" s="126"/>
      <c r="BW49" s="126"/>
      <c r="BX49" s="126"/>
      <c r="BY49" s="126"/>
      <c r="BZ49" s="126"/>
      <c r="CA49" s="126"/>
      <c r="CB49" s="126"/>
      <c r="CC49" s="126"/>
      <c r="CD49" s="126"/>
      <c r="CE49" s="126"/>
      <c r="CF49" s="126"/>
      <c r="CG49" s="126"/>
      <c r="CH49" s="126"/>
      <c r="CI49" s="126"/>
      <c r="CJ49" s="126"/>
      <c r="CK49" s="126"/>
      <c r="CL49" s="126"/>
      <c r="CM49" s="126"/>
      <c r="CN49" s="126"/>
      <c r="CO49" s="126"/>
      <c r="CP49" s="126"/>
      <c r="CQ49" s="126"/>
      <c r="CR49" s="126"/>
      <c r="CS49" s="126"/>
      <c r="CT49" s="126"/>
      <c r="CU49" s="126"/>
      <c r="CV49" s="126"/>
      <c r="CW49" s="126"/>
      <c r="CX49" s="126"/>
      <c r="CY49" s="126"/>
      <c r="CZ49" s="126"/>
      <c r="DA49" s="126"/>
      <c r="DB49" s="126"/>
      <c r="DC49" s="126"/>
      <c r="DD49" s="126"/>
      <c r="DE49" s="126"/>
      <c r="DF49" s="126"/>
      <c r="DG49" s="126"/>
      <c r="DH49" s="126"/>
      <c r="DI49" s="126"/>
      <c r="DJ49" s="126"/>
      <c r="DK49" s="126"/>
      <c r="DL49" s="126"/>
      <c r="DM49" s="126"/>
      <c r="DN49" s="126"/>
      <c r="DO49" s="126"/>
      <c r="DP49" s="126"/>
      <c r="DQ49" s="126"/>
      <c r="DR49" s="126"/>
      <c r="DS49" s="126"/>
      <c r="DT49" s="126"/>
      <c r="DU49" s="126"/>
      <c r="DV49" s="126"/>
      <c r="DW49" s="126"/>
      <c r="DX49" s="126"/>
      <c r="DY49" s="126"/>
      <c r="DZ49" s="126"/>
      <c r="EA49" s="126"/>
      <c r="EB49" s="126"/>
      <c r="EC49" s="126"/>
      <c r="ED49" s="126"/>
      <c r="EE49" s="126"/>
      <c r="EF49" s="126"/>
      <c r="EG49" s="126"/>
      <c r="EH49" s="126"/>
      <c r="EI49" s="126"/>
      <c r="EJ49" s="126"/>
      <c r="EK49" s="126"/>
      <c r="EL49" s="126"/>
      <c r="EM49" s="126"/>
      <c r="EN49" s="126"/>
      <c r="EO49" s="126"/>
      <c r="EP49" s="126"/>
      <c r="EQ49" s="126"/>
      <c r="ER49" s="126"/>
      <c r="ES49" s="126"/>
      <c r="ET49" s="126"/>
      <c r="EU49" s="126"/>
      <c r="EV49" s="126"/>
      <c r="EW49" s="126"/>
      <c r="EX49" s="126"/>
      <c r="EY49" s="126"/>
      <c r="EZ49" s="126"/>
      <c r="FA49" s="126"/>
      <c r="FB49" s="126"/>
      <c r="FC49" s="126"/>
      <c r="FD49" s="126"/>
      <c r="FE49" s="126"/>
      <c r="FF49" s="126"/>
      <c r="FG49" s="126"/>
      <c r="FH49" s="126"/>
      <c r="FI49" s="126"/>
      <c r="FJ49" s="126"/>
      <c r="FK49" s="126"/>
      <c r="FL49" s="126"/>
      <c r="FM49" s="126"/>
      <c r="FN49" s="126"/>
      <c r="FO49" s="126"/>
      <c r="FP49" s="126"/>
      <c r="FQ49" s="126"/>
      <c r="FR49" s="126"/>
      <c r="FS49" s="126"/>
      <c r="FT49" s="126"/>
      <c r="FU49" s="126"/>
      <c r="FV49" s="126"/>
      <c r="FW49" s="126"/>
      <c r="FX49" s="126"/>
      <c r="FY49" s="126"/>
      <c r="FZ49" s="126"/>
      <c r="GA49" s="126"/>
    </row>
    <row r="50" spans="1:183" ht="20.100000000000001" customHeight="1" x14ac:dyDescent="0.3">
      <c r="A50" s="142">
        <v>42</v>
      </c>
      <c r="B50" s="143"/>
      <c r="C50" s="143"/>
      <c r="D50" s="143"/>
      <c r="E50" s="144"/>
      <c r="F50" s="145"/>
      <c r="G50" s="146" t="str">
        <f t="shared" si="0"/>
        <v/>
      </c>
      <c r="H50" s="147" t="str">
        <f>IF(G50="","",SUM($G$9:G50))</f>
        <v/>
      </c>
      <c r="I50" s="148"/>
      <c r="J50" s="149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  <c r="CJ50" s="126"/>
      <c r="CK50" s="126"/>
      <c r="CL50" s="126"/>
      <c r="CM50" s="126"/>
      <c r="CN50" s="126"/>
      <c r="CO50" s="126"/>
      <c r="CP50" s="126"/>
      <c r="CQ50" s="126"/>
      <c r="CR50" s="126"/>
      <c r="CS50" s="126"/>
      <c r="CT50" s="126"/>
      <c r="CU50" s="126"/>
      <c r="CV50" s="126"/>
      <c r="CW50" s="126"/>
      <c r="CX50" s="126"/>
      <c r="CY50" s="126"/>
      <c r="CZ50" s="126"/>
      <c r="DA50" s="126"/>
      <c r="DB50" s="126"/>
      <c r="DC50" s="126"/>
      <c r="DD50" s="126"/>
      <c r="DE50" s="126"/>
      <c r="DF50" s="126"/>
      <c r="DG50" s="126"/>
      <c r="DH50" s="126"/>
      <c r="DI50" s="126"/>
      <c r="DJ50" s="126"/>
      <c r="DK50" s="126"/>
      <c r="DL50" s="126"/>
      <c r="DM50" s="126"/>
      <c r="DN50" s="126"/>
      <c r="DO50" s="126"/>
      <c r="DP50" s="126"/>
      <c r="DQ50" s="126"/>
      <c r="DR50" s="126"/>
      <c r="DS50" s="126"/>
      <c r="DT50" s="126"/>
      <c r="DU50" s="126"/>
      <c r="DV50" s="126"/>
      <c r="DW50" s="126"/>
      <c r="DX50" s="126"/>
      <c r="DY50" s="126"/>
      <c r="DZ50" s="126"/>
      <c r="EA50" s="126"/>
      <c r="EB50" s="126"/>
      <c r="EC50" s="126"/>
      <c r="ED50" s="126"/>
      <c r="EE50" s="126"/>
      <c r="EF50" s="126"/>
      <c r="EG50" s="126"/>
      <c r="EH50" s="126"/>
      <c r="EI50" s="126"/>
      <c r="EJ50" s="126"/>
      <c r="EK50" s="126"/>
      <c r="EL50" s="126"/>
      <c r="EM50" s="126"/>
      <c r="EN50" s="126"/>
      <c r="EO50" s="126"/>
      <c r="EP50" s="126"/>
      <c r="EQ50" s="126"/>
      <c r="ER50" s="126"/>
      <c r="ES50" s="126"/>
      <c r="ET50" s="126"/>
      <c r="EU50" s="126"/>
      <c r="EV50" s="126"/>
      <c r="EW50" s="126"/>
      <c r="EX50" s="126"/>
      <c r="EY50" s="126"/>
      <c r="EZ50" s="126"/>
      <c r="FA50" s="126"/>
      <c r="FB50" s="126"/>
      <c r="FC50" s="126"/>
      <c r="FD50" s="126"/>
      <c r="FE50" s="126"/>
      <c r="FF50" s="126"/>
      <c r="FG50" s="126"/>
      <c r="FH50" s="126"/>
      <c r="FI50" s="126"/>
      <c r="FJ50" s="126"/>
      <c r="FK50" s="126"/>
      <c r="FL50" s="126"/>
      <c r="FM50" s="126"/>
      <c r="FN50" s="126"/>
      <c r="FO50" s="126"/>
      <c r="FP50" s="126"/>
      <c r="FQ50" s="126"/>
      <c r="FR50" s="126"/>
      <c r="FS50" s="126"/>
      <c r="FT50" s="126"/>
      <c r="FU50" s="126"/>
      <c r="FV50" s="126"/>
      <c r="FW50" s="126"/>
      <c r="FX50" s="126"/>
      <c r="FY50" s="126"/>
      <c r="FZ50" s="126"/>
      <c r="GA50" s="126"/>
    </row>
    <row r="51" spans="1:183" ht="20.100000000000001" customHeight="1" x14ac:dyDescent="0.3">
      <c r="A51" s="142">
        <v>43</v>
      </c>
      <c r="B51" s="143"/>
      <c r="C51" s="143"/>
      <c r="D51" s="143"/>
      <c r="E51" s="144"/>
      <c r="F51" s="145"/>
      <c r="G51" s="146" t="str">
        <f t="shared" si="0"/>
        <v/>
      </c>
      <c r="H51" s="147" t="str">
        <f>IF(G51="","",SUM($G$9:G51))</f>
        <v/>
      </c>
      <c r="I51" s="148"/>
      <c r="J51" s="149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  <c r="BL51" s="126"/>
      <c r="BM51" s="126"/>
      <c r="BN51" s="126"/>
      <c r="BO51" s="126"/>
      <c r="BP51" s="126"/>
      <c r="BQ51" s="126"/>
      <c r="BR51" s="126"/>
      <c r="BS51" s="126"/>
      <c r="BT51" s="126"/>
      <c r="BU51" s="126"/>
      <c r="BV51" s="126"/>
      <c r="BW51" s="126"/>
      <c r="BX51" s="126"/>
      <c r="BY51" s="126"/>
      <c r="BZ51" s="126"/>
      <c r="CA51" s="126"/>
      <c r="CB51" s="126"/>
      <c r="CC51" s="126"/>
      <c r="CD51" s="126"/>
      <c r="CE51" s="126"/>
      <c r="CF51" s="126"/>
      <c r="CG51" s="126"/>
      <c r="CH51" s="126"/>
      <c r="CI51" s="126"/>
      <c r="CJ51" s="126"/>
      <c r="CK51" s="126"/>
      <c r="CL51" s="126"/>
      <c r="CM51" s="126"/>
      <c r="CN51" s="126"/>
      <c r="CO51" s="126"/>
      <c r="CP51" s="126"/>
      <c r="CQ51" s="126"/>
      <c r="CR51" s="126"/>
      <c r="CS51" s="126"/>
      <c r="CT51" s="126"/>
      <c r="CU51" s="126"/>
      <c r="CV51" s="126"/>
      <c r="CW51" s="126"/>
      <c r="CX51" s="126"/>
      <c r="CY51" s="126"/>
      <c r="CZ51" s="126"/>
      <c r="DA51" s="126"/>
      <c r="DB51" s="126"/>
      <c r="DC51" s="126"/>
      <c r="DD51" s="126"/>
      <c r="DE51" s="126"/>
      <c r="DF51" s="126"/>
      <c r="DG51" s="126"/>
      <c r="DH51" s="126"/>
      <c r="DI51" s="126"/>
      <c r="DJ51" s="126"/>
      <c r="DK51" s="126"/>
      <c r="DL51" s="126"/>
      <c r="DM51" s="126"/>
      <c r="DN51" s="126"/>
      <c r="DO51" s="126"/>
      <c r="DP51" s="126"/>
      <c r="DQ51" s="126"/>
      <c r="DR51" s="126"/>
      <c r="DS51" s="126"/>
      <c r="DT51" s="126"/>
      <c r="DU51" s="126"/>
      <c r="DV51" s="126"/>
      <c r="DW51" s="126"/>
      <c r="DX51" s="126"/>
      <c r="DY51" s="126"/>
      <c r="DZ51" s="126"/>
      <c r="EA51" s="126"/>
      <c r="EB51" s="126"/>
      <c r="EC51" s="126"/>
      <c r="ED51" s="126"/>
      <c r="EE51" s="126"/>
      <c r="EF51" s="126"/>
      <c r="EG51" s="126"/>
      <c r="EH51" s="126"/>
      <c r="EI51" s="126"/>
      <c r="EJ51" s="126"/>
      <c r="EK51" s="126"/>
      <c r="EL51" s="126"/>
      <c r="EM51" s="126"/>
      <c r="EN51" s="126"/>
      <c r="EO51" s="126"/>
      <c r="EP51" s="126"/>
      <c r="EQ51" s="126"/>
      <c r="ER51" s="126"/>
      <c r="ES51" s="126"/>
      <c r="ET51" s="126"/>
      <c r="EU51" s="126"/>
      <c r="EV51" s="126"/>
      <c r="EW51" s="126"/>
      <c r="EX51" s="126"/>
      <c r="EY51" s="126"/>
      <c r="EZ51" s="126"/>
      <c r="FA51" s="126"/>
      <c r="FB51" s="126"/>
      <c r="FC51" s="126"/>
      <c r="FD51" s="126"/>
      <c r="FE51" s="126"/>
      <c r="FF51" s="126"/>
      <c r="FG51" s="126"/>
      <c r="FH51" s="126"/>
      <c r="FI51" s="126"/>
      <c r="FJ51" s="126"/>
      <c r="FK51" s="126"/>
      <c r="FL51" s="126"/>
      <c r="FM51" s="126"/>
      <c r="FN51" s="126"/>
      <c r="FO51" s="126"/>
      <c r="FP51" s="126"/>
      <c r="FQ51" s="126"/>
      <c r="FR51" s="126"/>
      <c r="FS51" s="126"/>
      <c r="FT51" s="126"/>
      <c r="FU51" s="126"/>
      <c r="FV51" s="126"/>
      <c r="FW51" s="126"/>
      <c r="FX51" s="126"/>
      <c r="FY51" s="126"/>
      <c r="FZ51" s="126"/>
      <c r="GA51" s="126"/>
    </row>
    <row r="52" spans="1:183" ht="20.100000000000001" customHeight="1" x14ac:dyDescent="0.3">
      <c r="A52" s="142">
        <v>44</v>
      </c>
      <c r="B52" s="143"/>
      <c r="C52" s="143"/>
      <c r="D52" s="143"/>
      <c r="E52" s="144"/>
      <c r="F52" s="145"/>
      <c r="G52" s="146" t="str">
        <f t="shared" si="0"/>
        <v/>
      </c>
      <c r="H52" s="147" t="str">
        <f>IF(G52="","",SUM($G$9:G52))</f>
        <v/>
      </c>
      <c r="I52" s="148"/>
      <c r="J52" s="149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  <c r="CU52" s="126"/>
      <c r="CV52" s="126"/>
      <c r="CW52" s="126"/>
      <c r="CX52" s="126"/>
      <c r="CY52" s="126"/>
      <c r="CZ52" s="126"/>
      <c r="DA52" s="126"/>
      <c r="DB52" s="126"/>
      <c r="DC52" s="126"/>
      <c r="DD52" s="126"/>
      <c r="DE52" s="126"/>
      <c r="DF52" s="126"/>
      <c r="DG52" s="126"/>
      <c r="DH52" s="126"/>
      <c r="DI52" s="126"/>
      <c r="DJ52" s="126"/>
      <c r="DK52" s="126"/>
      <c r="DL52" s="126"/>
      <c r="DM52" s="126"/>
      <c r="DN52" s="126"/>
      <c r="DO52" s="126"/>
      <c r="DP52" s="126"/>
      <c r="DQ52" s="126"/>
      <c r="DR52" s="126"/>
      <c r="DS52" s="126"/>
      <c r="DT52" s="126"/>
      <c r="DU52" s="126"/>
      <c r="DV52" s="126"/>
      <c r="DW52" s="126"/>
      <c r="DX52" s="126"/>
      <c r="DY52" s="126"/>
      <c r="DZ52" s="126"/>
      <c r="EA52" s="126"/>
      <c r="EB52" s="126"/>
      <c r="EC52" s="126"/>
      <c r="ED52" s="126"/>
      <c r="EE52" s="126"/>
      <c r="EF52" s="126"/>
      <c r="EG52" s="126"/>
      <c r="EH52" s="126"/>
      <c r="EI52" s="126"/>
      <c r="EJ52" s="126"/>
      <c r="EK52" s="126"/>
      <c r="EL52" s="126"/>
      <c r="EM52" s="126"/>
      <c r="EN52" s="126"/>
      <c r="EO52" s="126"/>
      <c r="EP52" s="126"/>
      <c r="EQ52" s="126"/>
      <c r="ER52" s="126"/>
      <c r="ES52" s="126"/>
      <c r="ET52" s="126"/>
      <c r="EU52" s="126"/>
      <c r="EV52" s="126"/>
      <c r="EW52" s="126"/>
      <c r="EX52" s="126"/>
      <c r="EY52" s="126"/>
      <c r="EZ52" s="126"/>
      <c r="FA52" s="126"/>
      <c r="FB52" s="126"/>
      <c r="FC52" s="126"/>
      <c r="FD52" s="126"/>
      <c r="FE52" s="126"/>
      <c r="FF52" s="126"/>
      <c r="FG52" s="126"/>
      <c r="FH52" s="126"/>
      <c r="FI52" s="126"/>
      <c r="FJ52" s="126"/>
      <c r="FK52" s="126"/>
      <c r="FL52" s="126"/>
      <c r="FM52" s="126"/>
      <c r="FN52" s="126"/>
      <c r="FO52" s="126"/>
      <c r="FP52" s="126"/>
      <c r="FQ52" s="126"/>
      <c r="FR52" s="126"/>
      <c r="FS52" s="126"/>
      <c r="FT52" s="126"/>
      <c r="FU52" s="126"/>
      <c r="FV52" s="126"/>
      <c r="FW52" s="126"/>
      <c r="FX52" s="126"/>
      <c r="FY52" s="126"/>
      <c r="FZ52" s="126"/>
      <c r="GA52" s="126"/>
    </row>
    <row r="53" spans="1:183" ht="20.100000000000001" customHeight="1" x14ac:dyDescent="0.3">
      <c r="A53" s="142">
        <v>45</v>
      </c>
      <c r="B53" s="143"/>
      <c r="C53" s="143"/>
      <c r="D53" s="143"/>
      <c r="E53" s="144"/>
      <c r="F53" s="145"/>
      <c r="G53" s="146" t="str">
        <f t="shared" si="0"/>
        <v/>
      </c>
      <c r="H53" s="147" t="str">
        <f>IF(G53="","",SUM($G$9:G53))</f>
        <v/>
      </c>
      <c r="I53" s="148"/>
      <c r="J53" s="149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  <c r="BL53" s="126"/>
      <c r="BM53" s="126"/>
      <c r="BN53" s="126"/>
      <c r="BO53" s="126"/>
      <c r="BP53" s="126"/>
      <c r="BQ53" s="126"/>
      <c r="BR53" s="126"/>
      <c r="BS53" s="126"/>
      <c r="BT53" s="126"/>
      <c r="BU53" s="126"/>
      <c r="BV53" s="126"/>
      <c r="BW53" s="126"/>
      <c r="BX53" s="126"/>
      <c r="BY53" s="126"/>
      <c r="BZ53" s="126"/>
      <c r="CA53" s="126"/>
      <c r="CB53" s="126"/>
      <c r="CC53" s="126"/>
      <c r="CD53" s="126"/>
      <c r="CE53" s="126"/>
      <c r="CF53" s="126"/>
      <c r="CG53" s="126"/>
      <c r="CH53" s="126"/>
      <c r="CI53" s="126"/>
      <c r="CJ53" s="126"/>
      <c r="CK53" s="126"/>
      <c r="CL53" s="126"/>
      <c r="CM53" s="126"/>
      <c r="CN53" s="126"/>
      <c r="CO53" s="126"/>
      <c r="CP53" s="126"/>
      <c r="CQ53" s="126"/>
      <c r="CR53" s="126"/>
      <c r="CS53" s="126"/>
      <c r="CT53" s="126"/>
      <c r="CU53" s="126"/>
      <c r="CV53" s="126"/>
      <c r="CW53" s="126"/>
      <c r="CX53" s="126"/>
      <c r="CY53" s="126"/>
      <c r="CZ53" s="126"/>
      <c r="DA53" s="126"/>
      <c r="DB53" s="126"/>
      <c r="DC53" s="126"/>
      <c r="DD53" s="126"/>
      <c r="DE53" s="126"/>
      <c r="DF53" s="126"/>
      <c r="DG53" s="126"/>
      <c r="DH53" s="126"/>
      <c r="DI53" s="126"/>
      <c r="DJ53" s="126"/>
      <c r="DK53" s="126"/>
      <c r="DL53" s="126"/>
      <c r="DM53" s="126"/>
      <c r="DN53" s="126"/>
      <c r="DO53" s="126"/>
      <c r="DP53" s="126"/>
      <c r="DQ53" s="126"/>
      <c r="DR53" s="126"/>
      <c r="DS53" s="126"/>
      <c r="DT53" s="126"/>
      <c r="DU53" s="126"/>
      <c r="DV53" s="126"/>
      <c r="DW53" s="126"/>
      <c r="DX53" s="126"/>
      <c r="DY53" s="126"/>
      <c r="DZ53" s="126"/>
      <c r="EA53" s="126"/>
      <c r="EB53" s="126"/>
      <c r="EC53" s="126"/>
      <c r="ED53" s="126"/>
      <c r="EE53" s="126"/>
      <c r="EF53" s="126"/>
      <c r="EG53" s="126"/>
      <c r="EH53" s="126"/>
      <c r="EI53" s="126"/>
      <c r="EJ53" s="126"/>
      <c r="EK53" s="126"/>
      <c r="EL53" s="126"/>
      <c r="EM53" s="126"/>
      <c r="EN53" s="126"/>
      <c r="EO53" s="126"/>
      <c r="EP53" s="126"/>
      <c r="EQ53" s="126"/>
      <c r="ER53" s="126"/>
      <c r="ES53" s="126"/>
      <c r="ET53" s="126"/>
      <c r="EU53" s="126"/>
      <c r="EV53" s="126"/>
      <c r="EW53" s="126"/>
      <c r="EX53" s="126"/>
      <c r="EY53" s="126"/>
      <c r="EZ53" s="126"/>
      <c r="FA53" s="126"/>
      <c r="FB53" s="126"/>
      <c r="FC53" s="126"/>
      <c r="FD53" s="126"/>
      <c r="FE53" s="126"/>
      <c r="FF53" s="126"/>
      <c r="FG53" s="126"/>
      <c r="FH53" s="126"/>
      <c r="FI53" s="126"/>
      <c r="FJ53" s="126"/>
      <c r="FK53" s="126"/>
      <c r="FL53" s="126"/>
      <c r="FM53" s="126"/>
      <c r="FN53" s="126"/>
      <c r="FO53" s="126"/>
      <c r="FP53" s="126"/>
      <c r="FQ53" s="126"/>
      <c r="FR53" s="126"/>
      <c r="FS53" s="126"/>
      <c r="FT53" s="126"/>
      <c r="FU53" s="126"/>
      <c r="FV53" s="126"/>
      <c r="FW53" s="126"/>
      <c r="FX53" s="126"/>
      <c r="FY53" s="126"/>
      <c r="FZ53" s="126"/>
      <c r="GA53" s="126"/>
    </row>
    <row r="54" spans="1:183" ht="20.100000000000001" customHeight="1" x14ac:dyDescent="0.3">
      <c r="A54" s="142">
        <v>46</v>
      </c>
      <c r="B54" s="143"/>
      <c r="C54" s="143"/>
      <c r="D54" s="143"/>
      <c r="E54" s="144"/>
      <c r="F54" s="145"/>
      <c r="G54" s="146" t="str">
        <f t="shared" si="0"/>
        <v/>
      </c>
      <c r="H54" s="147" t="str">
        <f>IF(G54="","",SUM($G$9:G54))</f>
        <v/>
      </c>
      <c r="I54" s="148"/>
      <c r="J54" s="149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26"/>
      <c r="CC54" s="126"/>
      <c r="CD54" s="126"/>
      <c r="CE54" s="126"/>
      <c r="CF54" s="126"/>
      <c r="CG54" s="126"/>
      <c r="CH54" s="126"/>
      <c r="CI54" s="126"/>
      <c r="CJ54" s="126"/>
      <c r="CK54" s="126"/>
      <c r="CL54" s="126"/>
      <c r="CM54" s="126"/>
      <c r="CN54" s="126"/>
      <c r="CO54" s="126"/>
      <c r="CP54" s="126"/>
      <c r="CQ54" s="126"/>
      <c r="CR54" s="126"/>
      <c r="CS54" s="126"/>
      <c r="CT54" s="126"/>
      <c r="CU54" s="126"/>
      <c r="CV54" s="126"/>
      <c r="CW54" s="126"/>
      <c r="CX54" s="126"/>
      <c r="CY54" s="126"/>
      <c r="CZ54" s="126"/>
      <c r="DA54" s="126"/>
      <c r="DB54" s="126"/>
      <c r="DC54" s="126"/>
      <c r="DD54" s="126"/>
      <c r="DE54" s="126"/>
      <c r="DF54" s="126"/>
      <c r="DG54" s="126"/>
      <c r="DH54" s="126"/>
      <c r="DI54" s="126"/>
      <c r="DJ54" s="126"/>
      <c r="DK54" s="126"/>
      <c r="DL54" s="126"/>
      <c r="DM54" s="126"/>
      <c r="DN54" s="126"/>
      <c r="DO54" s="126"/>
      <c r="DP54" s="126"/>
      <c r="DQ54" s="126"/>
      <c r="DR54" s="126"/>
      <c r="DS54" s="126"/>
      <c r="DT54" s="126"/>
      <c r="DU54" s="126"/>
      <c r="DV54" s="126"/>
      <c r="DW54" s="126"/>
      <c r="DX54" s="126"/>
      <c r="DY54" s="126"/>
      <c r="DZ54" s="126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6"/>
      <c r="EL54" s="126"/>
      <c r="EM54" s="126"/>
      <c r="EN54" s="126"/>
      <c r="EO54" s="126"/>
      <c r="EP54" s="126"/>
      <c r="EQ54" s="126"/>
      <c r="ER54" s="126"/>
      <c r="ES54" s="126"/>
      <c r="ET54" s="126"/>
      <c r="EU54" s="126"/>
      <c r="EV54" s="126"/>
      <c r="EW54" s="126"/>
      <c r="EX54" s="126"/>
      <c r="EY54" s="126"/>
      <c r="EZ54" s="126"/>
      <c r="FA54" s="126"/>
      <c r="FB54" s="126"/>
      <c r="FC54" s="126"/>
      <c r="FD54" s="126"/>
      <c r="FE54" s="126"/>
      <c r="FF54" s="126"/>
      <c r="FG54" s="126"/>
      <c r="FH54" s="126"/>
      <c r="FI54" s="126"/>
      <c r="FJ54" s="126"/>
      <c r="FK54" s="126"/>
      <c r="FL54" s="126"/>
      <c r="FM54" s="126"/>
      <c r="FN54" s="126"/>
      <c r="FO54" s="126"/>
      <c r="FP54" s="126"/>
      <c r="FQ54" s="126"/>
      <c r="FR54" s="126"/>
      <c r="FS54" s="126"/>
      <c r="FT54" s="126"/>
      <c r="FU54" s="126"/>
      <c r="FV54" s="126"/>
      <c r="FW54" s="126"/>
      <c r="FX54" s="126"/>
      <c r="FY54" s="126"/>
      <c r="FZ54" s="126"/>
      <c r="GA54" s="126"/>
    </row>
    <row r="55" spans="1:183" ht="20.100000000000001" customHeight="1" x14ac:dyDescent="0.3">
      <c r="A55" s="142">
        <v>47</v>
      </c>
      <c r="B55" s="143"/>
      <c r="C55" s="143"/>
      <c r="D55" s="143"/>
      <c r="E55" s="144"/>
      <c r="F55" s="145"/>
      <c r="G55" s="146" t="str">
        <f t="shared" si="0"/>
        <v/>
      </c>
      <c r="H55" s="147" t="str">
        <f>IF(G55="","",SUM($G$9:G55))</f>
        <v/>
      </c>
      <c r="I55" s="148"/>
      <c r="J55" s="149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  <c r="CL55" s="126"/>
      <c r="CM55" s="126"/>
      <c r="CN55" s="126"/>
      <c r="CO55" s="126"/>
      <c r="CP55" s="126"/>
      <c r="CQ55" s="126"/>
      <c r="CR55" s="126"/>
      <c r="CS55" s="126"/>
      <c r="CT55" s="126"/>
      <c r="CU55" s="126"/>
      <c r="CV55" s="126"/>
      <c r="CW55" s="126"/>
      <c r="CX55" s="126"/>
      <c r="CY55" s="126"/>
      <c r="CZ55" s="126"/>
      <c r="DA55" s="126"/>
      <c r="DB55" s="126"/>
      <c r="DC55" s="126"/>
      <c r="DD55" s="126"/>
      <c r="DE55" s="126"/>
      <c r="DF55" s="126"/>
      <c r="DG55" s="126"/>
      <c r="DH55" s="126"/>
      <c r="DI55" s="126"/>
      <c r="DJ55" s="126"/>
      <c r="DK55" s="126"/>
      <c r="DL55" s="126"/>
      <c r="DM55" s="126"/>
      <c r="DN55" s="126"/>
      <c r="DO55" s="126"/>
      <c r="DP55" s="126"/>
      <c r="DQ55" s="126"/>
      <c r="DR55" s="126"/>
      <c r="DS55" s="126"/>
      <c r="DT55" s="126"/>
      <c r="DU55" s="126"/>
      <c r="DV55" s="126"/>
      <c r="DW55" s="126"/>
      <c r="DX55" s="126"/>
      <c r="DY55" s="126"/>
      <c r="DZ55" s="126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6"/>
      <c r="EL55" s="126"/>
      <c r="EM55" s="126"/>
      <c r="EN55" s="126"/>
      <c r="EO55" s="126"/>
      <c r="EP55" s="126"/>
      <c r="EQ55" s="126"/>
      <c r="ER55" s="126"/>
      <c r="ES55" s="126"/>
      <c r="ET55" s="126"/>
      <c r="EU55" s="126"/>
      <c r="EV55" s="126"/>
      <c r="EW55" s="126"/>
      <c r="EX55" s="126"/>
      <c r="EY55" s="126"/>
      <c r="EZ55" s="126"/>
      <c r="FA55" s="126"/>
      <c r="FB55" s="126"/>
      <c r="FC55" s="126"/>
      <c r="FD55" s="126"/>
      <c r="FE55" s="126"/>
      <c r="FF55" s="126"/>
      <c r="FG55" s="126"/>
      <c r="FH55" s="126"/>
      <c r="FI55" s="126"/>
      <c r="FJ55" s="126"/>
      <c r="FK55" s="126"/>
      <c r="FL55" s="126"/>
      <c r="FM55" s="126"/>
      <c r="FN55" s="126"/>
      <c r="FO55" s="126"/>
      <c r="FP55" s="126"/>
      <c r="FQ55" s="126"/>
      <c r="FR55" s="126"/>
      <c r="FS55" s="126"/>
      <c r="FT55" s="126"/>
      <c r="FU55" s="126"/>
      <c r="FV55" s="126"/>
      <c r="FW55" s="126"/>
      <c r="FX55" s="126"/>
      <c r="FY55" s="126"/>
      <c r="FZ55" s="126"/>
      <c r="GA55" s="126"/>
    </row>
    <row r="56" spans="1:183" ht="20.100000000000001" customHeight="1" x14ac:dyDescent="0.3">
      <c r="A56" s="142">
        <v>48</v>
      </c>
      <c r="B56" s="143"/>
      <c r="C56" s="143"/>
      <c r="D56" s="143"/>
      <c r="E56" s="144"/>
      <c r="F56" s="145"/>
      <c r="G56" s="146" t="str">
        <f t="shared" si="0"/>
        <v/>
      </c>
      <c r="H56" s="147" t="str">
        <f>IF(G56="","",SUM($G$9:G56))</f>
        <v/>
      </c>
      <c r="I56" s="148"/>
      <c r="J56" s="149"/>
    </row>
    <row r="57" spans="1:183" ht="20.100000000000001" customHeight="1" x14ac:dyDescent="0.3">
      <c r="A57" s="142">
        <v>49</v>
      </c>
      <c r="B57" s="143"/>
      <c r="C57" s="143"/>
      <c r="D57" s="143"/>
      <c r="E57" s="144"/>
      <c r="F57" s="145"/>
      <c r="G57" s="146" t="str">
        <f t="shared" si="0"/>
        <v/>
      </c>
      <c r="H57" s="147" t="str">
        <f>IF(G57="","",SUM($G$9:G57))</f>
        <v/>
      </c>
      <c r="I57" s="148"/>
      <c r="J57" s="149"/>
    </row>
    <row r="58" spans="1:183" ht="20.100000000000001" customHeight="1" x14ac:dyDescent="0.3">
      <c r="A58" s="142">
        <v>50</v>
      </c>
      <c r="B58" s="143"/>
      <c r="C58" s="143"/>
      <c r="D58" s="143"/>
      <c r="E58" s="144"/>
      <c r="F58" s="145"/>
      <c r="G58" s="146" t="str">
        <f t="shared" si="0"/>
        <v/>
      </c>
      <c r="H58" s="147" t="str">
        <f>IF(G58="","",SUM($G$9:G58))</f>
        <v/>
      </c>
      <c r="I58" s="148"/>
      <c r="J58" s="149"/>
    </row>
    <row r="59" spans="1:183" ht="20.100000000000001" customHeight="1" x14ac:dyDescent="0.3">
      <c r="A59" s="142">
        <v>51</v>
      </c>
      <c r="B59" s="143"/>
      <c r="C59" s="143"/>
      <c r="D59" s="143"/>
      <c r="E59" s="144"/>
      <c r="F59" s="145"/>
      <c r="G59" s="146" t="str">
        <f t="shared" si="0"/>
        <v/>
      </c>
      <c r="H59" s="147" t="str">
        <f>IF(G59="","",SUM($G$9:G59))</f>
        <v/>
      </c>
      <c r="I59" s="148"/>
      <c r="J59" s="149"/>
    </row>
    <row r="60" spans="1:183" ht="20.100000000000001" customHeight="1" x14ac:dyDescent="0.3">
      <c r="A60" s="142">
        <v>52</v>
      </c>
      <c r="B60" s="143"/>
      <c r="C60" s="143"/>
      <c r="D60" s="143"/>
      <c r="E60" s="144"/>
      <c r="F60" s="145"/>
      <c r="G60" s="146" t="str">
        <f t="shared" si="0"/>
        <v/>
      </c>
      <c r="H60" s="147" t="str">
        <f>IF(G60="","",SUM($G$9:G60))</f>
        <v/>
      </c>
      <c r="I60" s="148"/>
      <c r="J60" s="149"/>
    </row>
    <row r="61" spans="1:183" ht="20.100000000000001" customHeight="1" x14ac:dyDescent="0.3">
      <c r="A61" s="142">
        <v>53</v>
      </c>
      <c r="B61" s="143"/>
      <c r="C61" s="143"/>
      <c r="D61" s="143"/>
      <c r="E61" s="144"/>
      <c r="F61" s="145"/>
      <c r="G61" s="146" t="str">
        <f t="shared" si="0"/>
        <v/>
      </c>
      <c r="H61" s="147" t="str">
        <f>IF(G61="","",SUM($G$9:G61))</f>
        <v/>
      </c>
      <c r="I61" s="148"/>
      <c r="J61" s="149"/>
    </row>
    <row r="62" spans="1:183" ht="20.100000000000001" customHeight="1" x14ac:dyDescent="0.3">
      <c r="A62" s="142">
        <v>54</v>
      </c>
      <c r="B62" s="143"/>
      <c r="C62" s="143"/>
      <c r="D62" s="143"/>
      <c r="E62" s="144"/>
      <c r="F62" s="145"/>
      <c r="G62" s="146" t="str">
        <f t="shared" si="0"/>
        <v/>
      </c>
      <c r="H62" s="147" t="str">
        <f>IF(G62="","",SUM($G$9:G62))</f>
        <v/>
      </c>
      <c r="I62" s="148"/>
      <c r="J62" s="149"/>
    </row>
    <row r="63" spans="1:183" ht="20.100000000000001" customHeight="1" x14ac:dyDescent="0.3">
      <c r="A63" s="142">
        <v>55</v>
      </c>
      <c r="B63" s="143"/>
      <c r="C63" s="143"/>
      <c r="D63" s="143"/>
      <c r="E63" s="144"/>
      <c r="F63" s="145"/>
      <c r="G63" s="146" t="str">
        <f t="shared" si="0"/>
        <v/>
      </c>
      <c r="H63" s="147" t="str">
        <f>IF(G63="","",SUM($G$9:G63))</f>
        <v/>
      </c>
      <c r="I63" s="148"/>
      <c r="J63" s="149"/>
    </row>
    <row r="64" spans="1:183" ht="20.100000000000001" customHeight="1" x14ac:dyDescent="0.3">
      <c r="A64" s="142">
        <v>56</v>
      </c>
      <c r="B64" s="143"/>
      <c r="C64" s="143"/>
      <c r="D64" s="143"/>
      <c r="E64" s="144"/>
      <c r="F64" s="145"/>
      <c r="G64" s="146" t="str">
        <f t="shared" si="0"/>
        <v/>
      </c>
      <c r="H64" s="147" t="str">
        <f>IF(G64="","",SUM($G$9:G64))</f>
        <v/>
      </c>
      <c r="I64" s="148"/>
      <c r="J64" s="149"/>
    </row>
    <row r="65" spans="1:10" ht="20.100000000000001" customHeight="1" x14ac:dyDescent="0.3">
      <c r="A65" s="142">
        <v>57</v>
      </c>
      <c r="B65" s="143"/>
      <c r="C65" s="143"/>
      <c r="D65" s="143"/>
      <c r="E65" s="144"/>
      <c r="F65" s="145"/>
      <c r="G65" s="146" t="str">
        <f t="shared" si="0"/>
        <v/>
      </c>
      <c r="H65" s="147" t="str">
        <f>IF(G65="","",SUM($G$9:G65))</f>
        <v/>
      </c>
      <c r="I65" s="148"/>
      <c r="J65" s="149"/>
    </row>
    <row r="66" spans="1:10" ht="20.100000000000001" customHeight="1" x14ac:dyDescent="0.3">
      <c r="A66" s="142">
        <v>58</v>
      </c>
      <c r="B66" s="143"/>
      <c r="C66" s="143"/>
      <c r="D66" s="143"/>
      <c r="E66" s="144"/>
      <c r="F66" s="145"/>
      <c r="G66" s="146" t="str">
        <f t="shared" si="0"/>
        <v/>
      </c>
      <c r="H66" s="147" t="str">
        <f>IF(G66="","",SUM($G$9:G66))</f>
        <v/>
      </c>
      <c r="I66" s="148"/>
      <c r="J66" s="149"/>
    </row>
    <row r="67" spans="1:10" ht="20.100000000000001" customHeight="1" x14ac:dyDescent="0.3">
      <c r="A67" s="142">
        <v>59</v>
      </c>
      <c r="B67" s="143"/>
      <c r="C67" s="143"/>
      <c r="D67" s="143"/>
      <c r="E67" s="144"/>
      <c r="F67" s="145"/>
      <c r="G67" s="146" t="str">
        <f t="shared" si="0"/>
        <v/>
      </c>
      <c r="H67" s="147" t="str">
        <f>IF(G67="","",SUM($G$9:G67))</f>
        <v/>
      </c>
      <c r="I67" s="148"/>
      <c r="J67" s="149"/>
    </row>
    <row r="68" spans="1:10" ht="20.100000000000001" customHeight="1" x14ac:dyDescent="0.3">
      <c r="A68" s="158">
        <v>60</v>
      </c>
      <c r="B68" s="159"/>
      <c r="C68" s="159"/>
      <c r="D68" s="159"/>
      <c r="E68" s="160"/>
      <c r="F68" s="161"/>
      <c r="G68" s="162" t="str">
        <f t="shared" si="0"/>
        <v/>
      </c>
      <c r="H68" s="163" t="str">
        <f>IF(G68="","",SUM($G$9:G68))</f>
        <v/>
      </c>
      <c r="I68" s="164"/>
      <c r="J68" s="165"/>
    </row>
    <row r="69" spans="1:10" ht="20.100000000000001" customHeight="1" x14ac:dyDescent="0.3">
      <c r="A69" s="142">
        <v>61</v>
      </c>
      <c r="B69" s="143"/>
      <c r="C69" s="143"/>
      <c r="D69" s="143"/>
      <c r="E69" s="144"/>
      <c r="F69" s="145"/>
      <c r="G69" s="146" t="str">
        <f t="shared" si="0"/>
        <v/>
      </c>
      <c r="H69" s="147" t="str">
        <f>IF(G69="","",SUM($G$9:G69))</f>
        <v/>
      </c>
      <c r="I69" s="148"/>
      <c r="J69" s="149"/>
    </row>
    <row r="70" spans="1:10" ht="20.100000000000001" customHeight="1" x14ac:dyDescent="0.3">
      <c r="A70" s="142">
        <v>62</v>
      </c>
      <c r="B70" s="143"/>
      <c r="C70" s="143"/>
      <c r="D70" s="143"/>
      <c r="E70" s="144"/>
      <c r="F70" s="145"/>
      <c r="G70" s="146" t="str">
        <f t="shared" si="0"/>
        <v/>
      </c>
      <c r="H70" s="147" t="str">
        <f>IF(G70="","",SUM($G$9:G70))</f>
        <v/>
      </c>
      <c r="I70" s="148"/>
      <c r="J70" s="149"/>
    </row>
    <row r="71" spans="1:10" ht="20.100000000000001" customHeight="1" x14ac:dyDescent="0.3">
      <c r="A71" s="142">
        <v>63</v>
      </c>
      <c r="B71" s="143"/>
      <c r="C71" s="143"/>
      <c r="D71" s="143"/>
      <c r="E71" s="144"/>
      <c r="F71" s="145"/>
      <c r="G71" s="146" t="str">
        <f t="shared" si="0"/>
        <v/>
      </c>
      <c r="H71" s="147" t="str">
        <f>IF(G71="","",SUM($G$9:G71))</f>
        <v/>
      </c>
      <c r="I71" s="148"/>
      <c r="J71" s="149"/>
    </row>
    <row r="72" spans="1:10" ht="20.100000000000001" customHeight="1" x14ac:dyDescent="0.3">
      <c r="A72" s="142">
        <v>64</v>
      </c>
      <c r="B72" s="143"/>
      <c r="C72" s="143"/>
      <c r="D72" s="143"/>
      <c r="E72" s="144"/>
      <c r="F72" s="145"/>
      <c r="G72" s="146" t="str">
        <f t="shared" si="0"/>
        <v/>
      </c>
      <c r="H72" s="147" t="str">
        <f>IF(G72="","",SUM($G$9:G72))</f>
        <v/>
      </c>
      <c r="I72" s="148"/>
      <c r="J72" s="149"/>
    </row>
    <row r="73" spans="1:10" ht="20.100000000000001" customHeight="1" x14ac:dyDescent="0.3">
      <c r="A73" s="142">
        <v>65</v>
      </c>
      <c r="B73" s="143"/>
      <c r="C73" s="143"/>
      <c r="D73" s="143"/>
      <c r="E73" s="144"/>
      <c r="F73" s="145"/>
      <c r="G73" s="146" t="str">
        <f t="shared" ref="G73:G136" si="1">IF(ISBLANK(E73),"",IF(F73=$O$11,E73*$P$11,IF(F73=$O$12,E73*$P$12,IF(F73=$O$13,E73*$P$13,IF(F73=$O$14,E73*$P$14,"")))))</f>
        <v/>
      </c>
      <c r="H73" s="147" t="str">
        <f>IF(G73="","",SUM($G$9:G73))</f>
        <v/>
      </c>
      <c r="I73" s="148"/>
      <c r="J73" s="149"/>
    </row>
    <row r="74" spans="1:10" ht="20.100000000000001" customHeight="1" x14ac:dyDescent="0.3">
      <c r="A74" s="142">
        <v>66</v>
      </c>
      <c r="B74" s="143"/>
      <c r="C74" s="143"/>
      <c r="D74" s="143"/>
      <c r="E74" s="144"/>
      <c r="F74" s="145"/>
      <c r="G74" s="146" t="str">
        <f t="shared" si="1"/>
        <v/>
      </c>
      <c r="H74" s="147" t="str">
        <f>IF(G74="","",SUM($G$9:G74))</f>
        <v/>
      </c>
      <c r="I74" s="148"/>
      <c r="J74" s="149"/>
    </row>
    <row r="75" spans="1:10" ht="20.100000000000001" customHeight="1" x14ac:dyDescent="0.3">
      <c r="A75" s="142">
        <v>67</v>
      </c>
      <c r="B75" s="143"/>
      <c r="C75" s="143"/>
      <c r="D75" s="143"/>
      <c r="E75" s="144"/>
      <c r="F75" s="145"/>
      <c r="G75" s="146" t="str">
        <f t="shared" si="1"/>
        <v/>
      </c>
      <c r="H75" s="147" t="str">
        <f>IF(G75="","",SUM($G$9:G75))</f>
        <v/>
      </c>
      <c r="I75" s="148"/>
      <c r="J75" s="149"/>
    </row>
    <row r="76" spans="1:10" ht="20.100000000000001" customHeight="1" x14ac:dyDescent="0.3">
      <c r="A76" s="142">
        <v>68</v>
      </c>
      <c r="B76" s="143"/>
      <c r="C76" s="143"/>
      <c r="D76" s="143"/>
      <c r="E76" s="144"/>
      <c r="F76" s="145"/>
      <c r="G76" s="146" t="str">
        <f t="shared" si="1"/>
        <v/>
      </c>
      <c r="H76" s="147" t="str">
        <f>IF(G76="","",SUM($G$9:G76))</f>
        <v/>
      </c>
      <c r="I76" s="148"/>
      <c r="J76" s="149"/>
    </row>
    <row r="77" spans="1:10" ht="20.100000000000001" customHeight="1" x14ac:dyDescent="0.3">
      <c r="A77" s="142">
        <v>69</v>
      </c>
      <c r="B77" s="143"/>
      <c r="C77" s="143"/>
      <c r="D77" s="143"/>
      <c r="E77" s="144"/>
      <c r="F77" s="145"/>
      <c r="G77" s="146" t="str">
        <f t="shared" si="1"/>
        <v/>
      </c>
      <c r="H77" s="147" t="str">
        <f>IF(G77="","",SUM($G$9:G77))</f>
        <v/>
      </c>
      <c r="I77" s="148"/>
      <c r="J77" s="149"/>
    </row>
    <row r="78" spans="1:10" ht="20.100000000000001" customHeight="1" x14ac:dyDescent="0.3">
      <c r="A78" s="142">
        <v>70</v>
      </c>
      <c r="B78" s="143"/>
      <c r="C78" s="143"/>
      <c r="D78" s="143"/>
      <c r="E78" s="144"/>
      <c r="F78" s="145"/>
      <c r="G78" s="146" t="str">
        <f t="shared" si="1"/>
        <v/>
      </c>
      <c r="H78" s="147" t="str">
        <f>IF(G78="","",SUM($G$9:G78))</f>
        <v/>
      </c>
      <c r="I78" s="148"/>
      <c r="J78" s="149"/>
    </row>
    <row r="79" spans="1:10" ht="20.100000000000001" customHeight="1" x14ac:dyDescent="0.3">
      <c r="A79" s="142">
        <v>71</v>
      </c>
      <c r="B79" s="143"/>
      <c r="C79" s="143"/>
      <c r="D79" s="143"/>
      <c r="E79" s="144"/>
      <c r="F79" s="145"/>
      <c r="G79" s="146" t="str">
        <f t="shared" si="1"/>
        <v/>
      </c>
      <c r="H79" s="147" t="str">
        <f>IF(G79="","",SUM($G$9:G79))</f>
        <v/>
      </c>
      <c r="I79" s="148"/>
      <c r="J79" s="149"/>
    </row>
    <row r="80" spans="1:10" ht="20.100000000000001" customHeight="1" x14ac:dyDescent="0.3">
      <c r="A80" s="142">
        <v>72</v>
      </c>
      <c r="B80" s="143"/>
      <c r="C80" s="143"/>
      <c r="D80" s="143"/>
      <c r="E80" s="144"/>
      <c r="F80" s="145"/>
      <c r="G80" s="146" t="str">
        <f t="shared" si="1"/>
        <v/>
      </c>
      <c r="H80" s="147" t="str">
        <f>IF(G80="","",SUM($G$9:G80))</f>
        <v/>
      </c>
      <c r="I80" s="148"/>
      <c r="J80" s="149"/>
    </row>
    <row r="81" spans="1:10" ht="20.100000000000001" customHeight="1" x14ac:dyDescent="0.3">
      <c r="A81" s="142">
        <v>73</v>
      </c>
      <c r="B81" s="143"/>
      <c r="C81" s="143"/>
      <c r="D81" s="143"/>
      <c r="E81" s="144"/>
      <c r="F81" s="145"/>
      <c r="G81" s="146" t="str">
        <f t="shared" si="1"/>
        <v/>
      </c>
      <c r="H81" s="147" t="str">
        <f>IF(G81="","",SUM($G$9:G81))</f>
        <v/>
      </c>
      <c r="I81" s="148"/>
      <c r="J81" s="149"/>
    </row>
    <row r="82" spans="1:10" ht="20.100000000000001" customHeight="1" x14ac:dyDescent="0.3">
      <c r="A82" s="142">
        <v>74</v>
      </c>
      <c r="B82" s="143"/>
      <c r="C82" s="143"/>
      <c r="D82" s="143"/>
      <c r="E82" s="144"/>
      <c r="F82" s="145"/>
      <c r="G82" s="146" t="str">
        <f t="shared" si="1"/>
        <v/>
      </c>
      <c r="H82" s="147" t="str">
        <f>IF(G82="","",SUM($G$9:G82))</f>
        <v/>
      </c>
      <c r="I82" s="148"/>
      <c r="J82" s="149"/>
    </row>
    <row r="83" spans="1:10" ht="20.100000000000001" customHeight="1" x14ac:dyDescent="0.3">
      <c r="A83" s="142">
        <v>75</v>
      </c>
      <c r="B83" s="143"/>
      <c r="C83" s="143"/>
      <c r="D83" s="143"/>
      <c r="E83" s="144"/>
      <c r="F83" s="145"/>
      <c r="G83" s="146" t="str">
        <f t="shared" si="1"/>
        <v/>
      </c>
      <c r="H83" s="147" t="str">
        <f>IF(G83="","",SUM($G$9:G83))</f>
        <v/>
      </c>
      <c r="I83" s="148"/>
      <c r="J83" s="149"/>
    </row>
    <row r="84" spans="1:10" ht="20.100000000000001" customHeight="1" x14ac:dyDescent="0.3">
      <c r="A84" s="142">
        <v>76</v>
      </c>
      <c r="B84" s="143"/>
      <c r="C84" s="143"/>
      <c r="D84" s="143"/>
      <c r="E84" s="144"/>
      <c r="F84" s="145"/>
      <c r="G84" s="146" t="str">
        <f t="shared" si="1"/>
        <v/>
      </c>
      <c r="H84" s="147" t="str">
        <f>IF(G84="","",SUM($G$9:G84))</f>
        <v/>
      </c>
      <c r="I84" s="148"/>
      <c r="J84" s="149"/>
    </row>
    <row r="85" spans="1:10" ht="20.100000000000001" customHeight="1" x14ac:dyDescent="0.3">
      <c r="A85" s="142">
        <v>77</v>
      </c>
      <c r="B85" s="143"/>
      <c r="C85" s="143"/>
      <c r="D85" s="143"/>
      <c r="E85" s="144"/>
      <c r="F85" s="145"/>
      <c r="G85" s="146" t="str">
        <f t="shared" si="1"/>
        <v/>
      </c>
      <c r="H85" s="147" t="str">
        <f>IF(G85="","",SUM($G$9:G85))</f>
        <v/>
      </c>
      <c r="I85" s="148"/>
      <c r="J85" s="149"/>
    </row>
    <row r="86" spans="1:10" ht="20.100000000000001" customHeight="1" x14ac:dyDescent="0.3">
      <c r="A86" s="142">
        <v>78</v>
      </c>
      <c r="B86" s="143"/>
      <c r="C86" s="143"/>
      <c r="D86" s="143"/>
      <c r="E86" s="144"/>
      <c r="F86" s="145"/>
      <c r="G86" s="146" t="str">
        <f t="shared" si="1"/>
        <v/>
      </c>
      <c r="H86" s="147" t="str">
        <f>IF(G86="","",SUM($G$9:G86))</f>
        <v/>
      </c>
      <c r="I86" s="148"/>
      <c r="J86" s="149"/>
    </row>
    <row r="87" spans="1:10" ht="20.100000000000001" customHeight="1" x14ac:dyDescent="0.3">
      <c r="A87" s="142">
        <v>79</v>
      </c>
      <c r="B87" s="143"/>
      <c r="C87" s="143"/>
      <c r="D87" s="143"/>
      <c r="E87" s="144"/>
      <c r="F87" s="145"/>
      <c r="G87" s="146" t="str">
        <f t="shared" si="1"/>
        <v/>
      </c>
      <c r="H87" s="147" t="str">
        <f>IF(G87="","",SUM($G$9:G87))</f>
        <v/>
      </c>
      <c r="I87" s="148"/>
      <c r="J87" s="149"/>
    </row>
    <row r="88" spans="1:10" ht="20.100000000000001" customHeight="1" x14ac:dyDescent="0.3">
      <c r="A88" s="142">
        <v>80</v>
      </c>
      <c r="B88" s="143"/>
      <c r="C88" s="143"/>
      <c r="D88" s="143"/>
      <c r="E88" s="144"/>
      <c r="F88" s="145"/>
      <c r="G88" s="146" t="str">
        <f t="shared" si="1"/>
        <v/>
      </c>
      <c r="H88" s="147" t="str">
        <f>IF(G88="","",SUM($G$9:G88))</f>
        <v/>
      </c>
      <c r="I88" s="148"/>
      <c r="J88" s="149"/>
    </row>
    <row r="89" spans="1:10" ht="20.100000000000001" customHeight="1" x14ac:dyDescent="0.3">
      <c r="A89" s="142">
        <v>81</v>
      </c>
      <c r="B89" s="143"/>
      <c r="C89" s="143"/>
      <c r="D89" s="143"/>
      <c r="E89" s="144"/>
      <c r="F89" s="145"/>
      <c r="G89" s="146" t="str">
        <f t="shared" si="1"/>
        <v/>
      </c>
      <c r="H89" s="147" t="str">
        <f>IF(G89="","",SUM($G$9:G89))</f>
        <v/>
      </c>
      <c r="I89" s="148"/>
      <c r="J89" s="149"/>
    </row>
    <row r="90" spans="1:10" ht="20.100000000000001" customHeight="1" x14ac:dyDescent="0.3">
      <c r="A90" s="142">
        <v>82</v>
      </c>
      <c r="B90" s="143"/>
      <c r="C90" s="143"/>
      <c r="D90" s="143"/>
      <c r="E90" s="144"/>
      <c r="F90" s="145"/>
      <c r="G90" s="146" t="str">
        <f t="shared" si="1"/>
        <v/>
      </c>
      <c r="H90" s="147" t="str">
        <f>IF(G90="","",SUM($G$9:G90))</f>
        <v/>
      </c>
      <c r="I90" s="148"/>
      <c r="J90" s="149"/>
    </row>
    <row r="91" spans="1:10" ht="20.100000000000001" customHeight="1" x14ac:dyDescent="0.3">
      <c r="A91" s="142">
        <v>83</v>
      </c>
      <c r="B91" s="143"/>
      <c r="C91" s="143"/>
      <c r="D91" s="143"/>
      <c r="E91" s="144"/>
      <c r="F91" s="145"/>
      <c r="G91" s="146" t="str">
        <f t="shared" si="1"/>
        <v/>
      </c>
      <c r="H91" s="147" t="str">
        <f>IF(G91="","",SUM($G$9:G91))</f>
        <v/>
      </c>
      <c r="I91" s="148"/>
      <c r="J91" s="149"/>
    </row>
    <row r="92" spans="1:10" ht="20.100000000000001" customHeight="1" x14ac:dyDescent="0.3">
      <c r="A92" s="142">
        <v>84</v>
      </c>
      <c r="B92" s="143"/>
      <c r="C92" s="143"/>
      <c r="D92" s="143"/>
      <c r="E92" s="144"/>
      <c r="F92" s="145"/>
      <c r="G92" s="146" t="str">
        <f t="shared" si="1"/>
        <v/>
      </c>
      <c r="H92" s="147" t="str">
        <f>IF(G92="","",SUM($G$9:G92))</f>
        <v/>
      </c>
      <c r="I92" s="148"/>
      <c r="J92" s="149"/>
    </row>
    <row r="93" spans="1:10" ht="20.100000000000001" customHeight="1" x14ac:dyDescent="0.3">
      <c r="A93" s="142">
        <v>85</v>
      </c>
      <c r="B93" s="143"/>
      <c r="C93" s="143"/>
      <c r="D93" s="143"/>
      <c r="E93" s="144"/>
      <c r="F93" s="145"/>
      <c r="G93" s="146" t="str">
        <f t="shared" si="1"/>
        <v/>
      </c>
      <c r="H93" s="147" t="str">
        <f>IF(G93="","",SUM($G$9:G93))</f>
        <v/>
      </c>
      <c r="I93" s="148"/>
      <c r="J93" s="149"/>
    </row>
    <row r="94" spans="1:10" ht="20.100000000000001" customHeight="1" x14ac:dyDescent="0.3">
      <c r="A94" s="142">
        <v>86</v>
      </c>
      <c r="B94" s="143"/>
      <c r="C94" s="143"/>
      <c r="D94" s="143"/>
      <c r="E94" s="144"/>
      <c r="F94" s="145"/>
      <c r="G94" s="146" t="str">
        <f t="shared" si="1"/>
        <v/>
      </c>
      <c r="H94" s="147" t="str">
        <f>IF(G94="","",SUM($G$9:G94))</f>
        <v/>
      </c>
      <c r="I94" s="148"/>
      <c r="J94" s="149"/>
    </row>
    <row r="95" spans="1:10" ht="20.100000000000001" customHeight="1" x14ac:dyDescent="0.3">
      <c r="A95" s="142">
        <v>87</v>
      </c>
      <c r="B95" s="143"/>
      <c r="C95" s="143"/>
      <c r="D95" s="143"/>
      <c r="E95" s="144"/>
      <c r="F95" s="145"/>
      <c r="G95" s="146" t="str">
        <f t="shared" si="1"/>
        <v/>
      </c>
      <c r="H95" s="147" t="str">
        <f>IF(G95="","",SUM($G$9:G95))</f>
        <v/>
      </c>
      <c r="I95" s="148"/>
      <c r="J95" s="149"/>
    </row>
    <row r="96" spans="1:10" ht="20.100000000000001" customHeight="1" x14ac:dyDescent="0.3">
      <c r="A96" s="142">
        <v>88</v>
      </c>
      <c r="B96" s="143"/>
      <c r="C96" s="143"/>
      <c r="D96" s="143"/>
      <c r="E96" s="144"/>
      <c r="F96" s="145"/>
      <c r="G96" s="146" t="str">
        <f t="shared" si="1"/>
        <v/>
      </c>
      <c r="H96" s="147" t="str">
        <f>IF(G96="","",SUM($G$9:G96))</f>
        <v/>
      </c>
      <c r="I96" s="148"/>
      <c r="J96" s="149"/>
    </row>
    <row r="97" spans="1:10" ht="20.100000000000001" customHeight="1" x14ac:dyDescent="0.3">
      <c r="A97" s="142">
        <v>89</v>
      </c>
      <c r="B97" s="143"/>
      <c r="C97" s="143"/>
      <c r="D97" s="143"/>
      <c r="E97" s="144"/>
      <c r="F97" s="145"/>
      <c r="G97" s="146" t="str">
        <f t="shared" si="1"/>
        <v/>
      </c>
      <c r="H97" s="147" t="str">
        <f>IF(G97="","",SUM($G$9:G97))</f>
        <v/>
      </c>
      <c r="I97" s="148"/>
      <c r="J97" s="149"/>
    </row>
    <row r="98" spans="1:10" ht="20.100000000000001" customHeight="1" x14ac:dyDescent="0.3">
      <c r="A98" s="142">
        <v>90</v>
      </c>
      <c r="B98" s="143"/>
      <c r="C98" s="143"/>
      <c r="D98" s="143"/>
      <c r="E98" s="144"/>
      <c r="F98" s="145"/>
      <c r="G98" s="146" t="str">
        <f t="shared" si="1"/>
        <v/>
      </c>
      <c r="H98" s="147" t="str">
        <f>IF(G98="","",SUM($G$9:G98))</f>
        <v/>
      </c>
      <c r="I98" s="148"/>
      <c r="J98" s="149"/>
    </row>
    <row r="99" spans="1:10" ht="20.100000000000001" customHeight="1" x14ac:dyDescent="0.3">
      <c r="A99" s="142">
        <v>91</v>
      </c>
      <c r="B99" s="143"/>
      <c r="C99" s="143"/>
      <c r="D99" s="143"/>
      <c r="E99" s="144"/>
      <c r="F99" s="145"/>
      <c r="G99" s="146" t="str">
        <f t="shared" si="1"/>
        <v/>
      </c>
      <c r="H99" s="147" t="str">
        <f>IF(G99="","",SUM($G$9:G99))</f>
        <v/>
      </c>
      <c r="I99" s="148"/>
      <c r="J99" s="149"/>
    </row>
    <row r="100" spans="1:10" ht="20.100000000000001" customHeight="1" x14ac:dyDescent="0.3">
      <c r="A100" s="142">
        <v>92</v>
      </c>
      <c r="B100" s="143"/>
      <c r="C100" s="143"/>
      <c r="D100" s="143"/>
      <c r="E100" s="144"/>
      <c r="F100" s="145"/>
      <c r="G100" s="146" t="str">
        <f t="shared" si="1"/>
        <v/>
      </c>
      <c r="H100" s="147" t="str">
        <f>IF(G100="","",SUM($G$9:G100))</f>
        <v/>
      </c>
      <c r="I100" s="148"/>
      <c r="J100" s="149"/>
    </row>
    <row r="101" spans="1:10" ht="20.100000000000001" customHeight="1" x14ac:dyDescent="0.3">
      <c r="A101" s="142">
        <v>93</v>
      </c>
      <c r="B101" s="143"/>
      <c r="C101" s="143"/>
      <c r="D101" s="143"/>
      <c r="E101" s="144"/>
      <c r="F101" s="145"/>
      <c r="G101" s="146" t="str">
        <f t="shared" si="1"/>
        <v/>
      </c>
      <c r="H101" s="147" t="str">
        <f>IF(G101="","",SUM($G$9:G101))</f>
        <v/>
      </c>
      <c r="I101" s="148"/>
      <c r="J101" s="149"/>
    </row>
    <row r="102" spans="1:10" ht="20.100000000000001" customHeight="1" x14ac:dyDescent="0.3">
      <c r="A102" s="142">
        <v>94</v>
      </c>
      <c r="B102" s="143"/>
      <c r="C102" s="143"/>
      <c r="D102" s="143"/>
      <c r="E102" s="144"/>
      <c r="F102" s="145"/>
      <c r="G102" s="146" t="str">
        <f t="shared" si="1"/>
        <v/>
      </c>
      <c r="H102" s="147" t="str">
        <f>IF(G102="","",SUM($G$9:G102))</f>
        <v/>
      </c>
      <c r="I102" s="148"/>
      <c r="J102" s="149"/>
    </row>
    <row r="103" spans="1:10" ht="20.100000000000001" customHeight="1" x14ac:dyDescent="0.3">
      <c r="A103" s="142">
        <v>95</v>
      </c>
      <c r="B103" s="143"/>
      <c r="C103" s="143"/>
      <c r="D103" s="143"/>
      <c r="E103" s="144"/>
      <c r="F103" s="145"/>
      <c r="G103" s="146" t="str">
        <f t="shared" si="1"/>
        <v/>
      </c>
      <c r="H103" s="147" t="str">
        <f>IF(G103="","",SUM($G$9:G103))</f>
        <v/>
      </c>
      <c r="I103" s="148"/>
      <c r="J103" s="149"/>
    </row>
    <row r="104" spans="1:10" ht="20.100000000000001" customHeight="1" x14ac:dyDescent="0.3">
      <c r="A104" s="142">
        <v>96</v>
      </c>
      <c r="B104" s="143"/>
      <c r="C104" s="143"/>
      <c r="D104" s="143"/>
      <c r="E104" s="144"/>
      <c r="F104" s="145"/>
      <c r="G104" s="146" t="str">
        <f t="shared" si="1"/>
        <v/>
      </c>
      <c r="H104" s="147" t="str">
        <f>IF(G104="","",SUM($G$9:G104))</f>
        <v/>
      </c>
      <c r="I104" s="148"/>
      <c r="J104" s="149"/>
    </row>
    <row r="105" spans="1:10" ht="20.100000000000001" customHeight="1" x14ac:dyDescent="0.3">
      <c r="A105" s="142">
        <v>97</v>
      </c>
      <c r="B105" s="143"/>
      <c r="C105" s="143"/>
      <c r="D105" s="143"/>
      <c r="E105" s="144"/>
      <c r="F105" s="145"/>
      <c r="G105" s="146" t="str">
        <f t="shared" si="1"/>
        <v/>
      </c>
      <c r="H105" s="147" t="str">
        <f>IF(G105="","",SUM($G$9:G105))</f>
        <v/>
      </c>
      <c r="I105" s="148"/>
      <c r="J105" s="149"/>
    </row>
    <row r="106" spans="1:10" ht="20.100000000000001" customHeight="1" x14ac:dyDescent="0.3">
      <c r="A106" s="142">
        <v>98</v>
      </c>
      <c r="B106" s="143"/>
      <c r="C106" s="143"/>
      <c r="D106" s="143"/>
      <c r="E106" s="144"/>
      <c r="F106" s="145"/>
      <c r="G106" s="146" t="str">
        <f t="shared" si="1"/>
        <v/>
      </c>
      <c r="H106" s="147" t="str">
        <f>IF(G106="","",SUM($G$9:G106))</f>
        <v/>
      </c>
      <c r="I106" s="148"/>
      <c r="J106" s="149"/>
    </row>
    <row r="107" spans="1:10" ht="20.100000000000001" customHeight="1" x14ac:dyDescent="0.3">
      <c r="A107" s="142">
        <v>99</v>
      </c>
      <c r="B107" s="143"/>
      <c r="C107" s="143"/>
      <c r="D107" s="143"/>
      <c r="E107" s="144"/>
      <c r="F107" s="145"/>
      <c r="G107" s="146" t="str">
        <f t="shared" si="1"/>
        <v/>
      </c>
      <c r="H107" s="147" t="str">
        <f>IF(G107="","",SUM($G$9:G107))</f>
        <v/>
      </c>
      <c r="I107" s="148"/>
      <c r="J107" s="149"/>
    </row>
    <row r="108" spans="1:10" ht="20.100000000000001" customHeight="1" x14ac:dyDescent="0.3">
      <c r="A108" s="166">
        <v>100</v>
      </c>
      <c r="B108" s="167"/>
      <c r="C108" s="167"/>
      <c r="D108" s="167"/>
      <c r="E108" s="168"/>
      <c r="F108" s="169"/>
      <c r="G108" s="170" t="str">
        <f t="shared" si="1"/>
        <v/>
      </c>
      <c r="H108" s="171" t="str">
        <f>IF(G108="","",SUM($G$9:G108))</f>
        <v/>
      </c>
      <c r="I108" s="172"/>
      <c r="J108" s="173"/>
    </row>
    <row r="109" spans="1:10" ht="20.100000000000001" customHeight="1" x14ac:dyDescent="0.3">
      <c r="A109" s="142">
        <v>101</v>
      </c>
      <c r="B109" s="143"/>
      <c r="C109" s="143"/>
      <c r="D109" s="143"/>
      <c r="E109" s="144"/>
      <c r="F109" s="145"/>
      <c r="G109" s="146" t="str">
        <f t="shared" si="1"/>
        <v/>
      </c>
      <c r="H109" s="147" t="str">
        <f>IF(G109="","",SUM($G$9:G109))</f>
        <v/>
      </c>
      <c r="I109" s="148"/>
      <c r="J109" s="149"/>
    </row>
    <row r="110" spans="1:10" ht="20.100000000000001" customHeight="1" x14ac:dyDescent="0.3">
      <c r="A110" s="142">
        <v>102</v>
      </c>
      <c r="B110" s="143"/>
      <c r="C110" s="143"/>
      <c r="D110" s="143"/>
      <c r="E110" s="144"/>
      <c r="F110" s="145"/>
      <c r="G110" s="146" t="str">
        <f t="shared" si="1"/>
        <v/>
      </c>
      <c r="H110" s="147" t="str">
        <f>IF(G110="","",SUM($G$9:G110))</f>
        <v/>
      </c>
      <c r="I110" s="148"/>
      <c r="J110" s="149"/>
    </row>
    <row r="111" spans="1:10" ht="20.100000000000001" customHeight="1" x14ac:dyDescent="0.3">
      <c r="A111" s="142">
        <v>103</v>
      </c>
      <c r="B111" s="143"/>
      <c r="C111" s="143"/>
      <c r="D111" s="143"/>
      <c r="E111" s="144"/>
      <c r="F111" s="145"/>
      <c r="G111" s="146" t="str">
        <f t="shared" si="1"/>
        <v/>
      </c>
      <c r="H111" s="147" t="str">
        <f>IF(G111="","",SUM($G$9:G111))</f>
        <v/>
      </c>
      <c r="I111" s="148"/>
      <c r="J111" s="149"/>
    </row>
    <row r="112" spans="1:10" ht="20.100000000000001" customHeight="1" x14ac:dyDescent="0.3">
      <c r="A112" s="142">
        <v>104</v>
      </c>
      <c r="B112" s="143"/>
      <c r="C112" s="143"/>
      <c r="D112" s="143"/>
      <c r="E112" s="144"/>
      <c r="F112" s="145"/>
      <c r="G112" s="146" t="str">
        <f t="shared" si="1"/>
        <v/>
      </c>
      <c r="H112" s="147" t="str">
        <f>IF(G112="","",SUM($G$9:G112))</f>
        <v/>
      </c>
      <c r="I112" s="148"/>
      <c r="J112" s="149"/>
    </row>
    <row r="113" spans="1:10" ht="20.100000000000001" customHeight="1" x14ac:dyDescent="0.3">
      <c r="A113" s="142">
        <v>105</v>
      </c>
      <c r="B113" s="143"/>
      <c r="C113" s="143"/>
      <c r="D113" s="143"/>
      <c r="E113" s="144"/>
      <c r="F113" s="145"/>
      <c r="G113" s="146" t="str">
        <f t="shared" si="1"/>
        <v/>
      </c>
      <c r="H113" s="147" t="str">
        <f>IF(G113="","",SUM($G$9:G113))</f>
        <v/>
      </c>
      <c r="I113" s="148"/>
      <c r="J113" s="149"/>
    </row>
    <row r="114" spans="1:10" ht="20.100000000000001" customHeight="1" x14ac:dyDescent="0.3">
      <c r="A114" s="142">
        <v>106</v>
      </c>
      <c r="B114" s="143"/>
      <c r="C114" s="143"/>
      <c r="D114" s="143"/>
      <c r="E114" s="144"/>
      <c r="F114" s="145"/>
      <c r="G114" s="146" t="str">
        <f t="shared" si="1"/>
        <v/>
      </c>
      <c r="H114" s="147" t="str">
        <f>IF(G114="","",SUM($G$9:G114))</f>
        <v/>
      </c>
      <c r="I114" s="148"/>
      <c r="J114" s="149"/>
    </row>
    <row r="115" spans="1:10" ht="20.100000000000001" customHeight="1" x14ac:dyDescent="0.3">
      <c r="A115" s="142">
        <v>107</v>
      </c>
      <c r="B115" s="143"/>
      <c r="C115" s="143"/>
      <c r="D115" s="143"/>
      <c r="E115" s="144"/>
      <c r="F115" s="145"/>
      <c r="G115" s="146" t="str">
        <f t="shared" si="1"/>
        <v/>
      </c>
      <c r="H115" s="147" t="str">
        <f>IF(G115="","",SUM($G$9:G115))</f>
        <v/>
      </c>
      <c r="I115" s="148"/>
      <c r="J115" s="149"/>
    </row>
    <row r="116" spans="1:10" ht="20.100000000000001" customHeight="1" x14ac:dyDescent="0.3">
      <c r="A116" s="142">
        <v>108</v>
      </c>
      <c r="B116" s="143"/>
      <c r="C116" s="143"/>
      <c r="D116" s="143"/>
      <c r="E116" s="144"/>
      <c r="F116" s="145"/>
      <c r="G116" s="146" t="str">
        <f t="shared" si="1"/>
        <v/>
      </c>
      <c r="H116" s="147" t="str">
        <f>IF(G116="","",SUM($G$9:G116))</f>
        <v/>
      </c>
      <c r="I116" s="148"/>
      <c r="J116" s="149"/>
    </row>
    <row r="117" spans="1:10" ht="20.100000000000001" customHeight="1" x14ac:dyDescent="0.3">
      <c r="A117" s="142">
        <v>109</v>
      </c>
      <c r="B117" s="143"/>
      <c r="C117" s="143"/>
      <c r="D117" s="143"/>
      <c r="E117" s="144"/>
      <c r="F117" s="145"/>
      <c r="G117" s="146" t="str">
        <f t="shared" si="1"/>
        <v/>
      </c>
      <c r="H117" s="147" t="str">
        <f>IF(G117="","",SUM($G$9:G117))</f>
        <v/>
      </c>
      <c r="I117" s="148"/>
      <c r="J117" s="149"/>
    </row>
    <row r="118" spans="1:10" ht="20.100000000000001" customHeight="1" x14ac:dyDescent="0.3">
      <c r="A118" s="142">
        <v>110</v>
      </c>
      <c r="B118" s="143"/>
      <c r="C118" s="143"/>
      <c r="D118" s="143"/>
      <c r="E118" s="144"/>
      <c r="F118" s="145"/>
      <c r="G118" s="146" t="str">
        <f t="shared" si="1"/>
        <v/>
      </c>
      <c r="H118" s="147" t="str">
        <f>IF(G118="","",SUM($G$9:G118))</f>
        <v/>
      </c>
      <c r="I118" s="148"/>
      <c r="J118" s="149"/>
    </row>
    <row r="119" spans="1:10" ht="20.100000000000001" customHeight="1" x14ac:dyDescent="0.3">
      <c r="A119" s="142">
        <v>111</v>
      </c>
      <c r="B119" s="143"/>
      <c r="C119" s="143"/>
      <c r="D119" s="143"/>
      <c r="E119" s="144"/>
      <c r="F119" s="145"/>
      <c r="G119" s="146" t="str">
        <f t="shared" si="1"/>
        <v/>
      </c>
      <c r="H119" s="147" t="str">
        <f>IF(G119="","",SUM($G$9:G119))</f>
        <v/>
      </c>
      <c r="I119" s="148"/>
      <c r="J119" s="149"/>
    </row>
    <row r="120" spans="1:10" ht="20.100000000000001" customHeight="1" x14ac:dyDescent="0.3">
      <c r="A120" s="142">
        <v>112</v>
      </c>
      <c r="B120" s="143"/>
      <c r="C120" s="143"/>
      <c r="D120" s="143"/>
      <c r="E120" s="144"/>
      <c r="F120" s="145"/>
      <c r="G120" s="146" t="str">
        <f t="shared" si="1"/>
        <v/>
      </c>
      <c r="H120" s="147" t="str">
        <f>IF(G120="","",SUM($G$9:G120))</f>
        <v/>
      </c>
      <c r="I120" s="148"/>
      <c r="J120" s="149"/>
    </row>
    <row r="121" spans="1:10" ht="20.100000000000001" customHeight="1" x14ac:dyDescent="0.3">
      <c r="A121" s="142">
        <v>113</v>
      </c>
      <c r="B121" s="143"/>
      <c r="C121" s="143"/>
      <c r="D121" s="143"/>
      <c r="E121" s="144"/>
      <c r="F121" s="145"/>
      <c r="G121" s="146" t="str">
        <f t="shared" si="1"/>
        <v/>
      </c>
      <c r="H121" s="147" t="str">
        <f>IF(G121="","",SUM($G$9:G121))</f>
        <v/>
      </c>
      <c r="I121" s="148"/>
      <c r="J121" s="149"/>
    </row>
    <row r="122" spans="1:10" ht="20.100000000000001" customHeight="1" x14ac:dyDescent="0.3">
      <c r="A122" s="142">
        <v>114</v>
      </c>
      <c r="B122" s="143"/>
      <c r="C122" s="143"/>
      <c r="D122" s="143"/>
      <c r="E122" s="144"/>
      <c r="F122" s="145"/>
      <c r="G122" s="146" t="str">
        <f t="shared" si="1"/>
        <v/>
      </c>
      <c r="H122" s="147" t="str">
        <f>IF(G122="","",SUM($G$9:G122))</f>
        <v/>
      </c>
      <c r="I122" s="148"/>
      <c r="J122" s="149"/>
    </row>
    <row r="123" spans="1:10" ht="20.100000000000001" customHeight="1" x14ac:dyDescent="0.3">
      <c r="A123" s="142">
        <v>115</v>
      </c>
      <c r="B123" s="143"/>
      <c r="C123" s="143"/>
      <c r="D123" s="143"/>
      <c r="E123" s="144"/>
      <c r="F123" s="145"/>
      <c r="G123" s="146" t="str">
        <f t="shared" si="1"/>
        <v/>
      </c>
      <c r="H123" s="147" t="str">
        <f>IF(G123="","",SUM($G$9:G123))</f>
        <v/>
      </c>
      <c r="I123" s="148"/>
      <c r="J123" s="149"/>
    </row>
    <row r="124" spans="1:10" ht="20.100000000000001" customHeight="1" x14ac:dyDescent="0.3">
      <c r="A124" s="142">
        <v>116</v>
      </c>
      <c r="B124" s="143"/>
      <c r="C124" s="143"/>
      <c r="D124" s="143"/>
      <c r="E124" s="144"/>
      <c r="F124" s="145"/>
      <c r="G124" s="146" t="str">
        <f t="shared" si="1"/>
        <v/>
      </c>
      <c r="H124" s="147" t="str">
        <f>IF(G124="","",SUM($G$9:G124))</f>
        <v/>
      </c>
      <c r="I124" s="148"/>
      <c r="J124" s="149"/>
    </row>
    <row r="125" spans="1:10" ht="20.100000000000001" customHeight="1" x14ac:dyDescent="0.3">
      <c r="A125" s="142">
        <v>117</v>
      </c>
      <c r="B125" s="143"/>
      <c r="C125" s="143"/>
      <c r="D125" s="143"/>
      <c r="E125" s="144"/>
      <c r="F125" s="145"/>
      <c r="G125" s="146" t="str">
        <f t="shared" si="1"/>
        <v/>
      </c>
      <c r="H125" s="147" t="str">
        <f>IF(G125="","",SUM($G$9:G125))</f>
        <v/>
      </c>
      <c r="I125" s="148"/>
      <c r="J125" s="149"/>
    </row>
    <row r="126" spans="1:10" ht="20.100000000000001" customHeight="1" x14ac:dyDescent="0.3">
      <c r="A126" s="142">
        <v>118</v>
      </c>
      <c r="B126" s="143"/>
      <c r="C126" s="143"/>
      <c r="D126" s="143"/>
      <c r="E126" s="144"/>
      <c r="F126" s="145"/>
      <c r="G126" s="146" t="str">
        <f t="shared" si="1"/>
        <v/>
      </c>
      <c r="H126" s="147" t="str">
        <f>IF(G126="","",SUM($G$9:G126))</f>
        <v/>
      </c>
      <c r="I126" s="148"/>
      <c r="J126" s="149"/>
    </row>
    <row r="127" spans="1:10" ht="20.100000000000001" customHeight="1" x14ac:dyDescent="0.3">
      <c r="A127" s="142">
        <v>119</v>
      </c>
      <c r="B127" s="143"/>
      <c r="C127" s="143"/>
      <c r="D127" s="143"/>
      <c r="E127" s="144"/>
      <c r="F127" s="145"/>
      <c r="G127" s="146" t="str">
        <f t="shared" si="1"/>
        <v/>
      </c>
      <c r="H127" s="147" t="str">
        <f>IF(G127="","",SUM($G$9:G127))</f>
        <v/>
      </c>
      <c r="I127" s="148"/>
      <c r="J127" s="149"/>
    </row>
    <row r="128" spans="1:10" ht="20.100000000000001" customHeight="1" x14ac:dyDescent="0.3">
      <c r="A128" s="174">
        <v>120</v>
      </c>
      <c r="B128" s="175"/>
      <c r="C128" s="175"/>
      <c r="D128" s="175"/>
      <c r="E128" s="176"/>
      <c r="F128" s="177"/>
      <c r="G128" s="178" t="str">
        <f t="shared" si="1"/>
        <v/>
      </c>
      <c r="H128" s="179" t="str">
        <f>IF(G128="","",SUM($G$9:G128))</f>
        <v/>
      </c>
      <c r="I128" s="180"/>
      <c r="J128" s="181"/>
    </row>
    <row r="129" spans="1:10" ht="20.100000000000001" customHeight="1" x14ac:dyDescent="0.3">
      <c r="A129" s="142">
        <v>121</v>
      </c>
      <c r="B129" s="143"/>
      <c r="C129" s="143"/>
      <c r="D129" s="143"/>
      <c r="E129" s="144"/>
      <c r="F129" s="145"/>
      <c r="G129" s="146" t="str">
        <f t="shared" si="1"/>
        <v/>
      </c>
      <c r="H129" s="147" t="str">
        <f>IF(G129="","",SUM($G$9:G129))</f>
        <v/>
      </c>
      <c r="I129" s="148"/>
      <c r="J129" s="149"/>
    </row>
    <row r="130" spans="1:10" ht="20.100000000000001" customHeight="1" x14ac:dyDescent="0.3">
      <c r="A130" s="142">
        <v>122</v>
      </c>
      <c r="B130" s="143"/>
      <c r="C130" s="143"/>
      <c r="D130" s="143"/>
      <c r="E130" s="144"/>
      <c r="F130" s="145"/>
      <c r="G130" s="146" t="str">
        <f t="shared" si="1"/>
        <v/>
      </c>
      <c r="H130" s="147" t="str">
        <f>IF(G130="","",SUM($G$9:G130))</f>
        <v/>
      </c>
      <c r="I130" s="148"/>
      <c r="J130" s="149"/>
    </row>
    <row r="131" spans="1:10" ht="20.100000000000001" customHeight="1" x14ac:dyDescent="0.3">
      <c r="A131" s="142">
        <v>123</v>
      </c>
      <c r="B131" s="143"/>
      <c r="C131" s="143"/>
      <c r="D131" s="143"/>
      <c r="E131" s="144"/>
      <c r="F131" s="145"/>
      <c r="G131" s="146" t="str">
        <f t="shared" si="1"/>
        <v/>
      </c>
      <c r="H131" s="147" t="str">
        <f>IF(G131="","",SUM($G$9:G131))</f>
        <v/>
      </c>
      <c r="I131" s="148"/>
      <c r="J131" s="149"/>
    </row>
    <row r="132" spans="1:10" ht="20.100000000000001" customHeight="1" x14ac:dyDescent="0.3">
      <c r="A132" s="142">
        <v>124</v>
      </c>
      <c r="B132" s="143"/>
      <c r="C132" s="143"/>
      <c r="D132" s="143"/>
      <c r="E132" s="144"/>
      <c r="F132" s="145"/>
      <c r="G132" s="146" t="str">
        <f t="shared" si="1"/>
        <v/>
      </c>
      <c r="H132" s="147" t="str">
        <f>IF(G132="","",SUM($G$9:G132))</f>
        <v/>
      </c>
      <c r="I132" s="148"/>
      <c r="J132" s="149"/>
    </row>
    <row r="133" spans="1:10" ht="20.100000000000001" customHeight="1" x14ac:dyDescent="0.3">
      <c r="A133" s="142">
        <v>125</v>
      </c>
      <c r="B133" s="143"/>
      <c r="C133" s="143"/>
      <c r="D133" s="143"/>
      <c r="E133" s="144"/>
      <c r="F133" s="145"/>
      <c r="G133" s="146" t="str">
        <f t="shared" si="1"/>
        <v/>
      </c>
      <c r="H133" s="147" t="str">
        <f>IF(G133="","",SUM($G$9:G133))</f>
        <v/>
      </c>
      <c r="I133" s="148"/>
      <c r="J133" s="149"/>
    </row>
    <row r="134" spans="1:10" ht="20.100000000000001" customHeight="1" x14ac:dyDescent="0.3">
      <c r="A134" s="142">
        <v>126</v>
      </c>
      <c r="B134" s="143"/>
      <c r="C134" s="143"/>
      <c r="D134" s="143"/>
      <c r="E134" s="144"/>
      <c r="F134" s="145"/>
      <c r="G134" s="146" t="str">
        <f t="shared" si="1"/>
        <v/>
      </c>
      <c r="H134" s="147" t="str">
        <f>IF(G134="","",SUM($G$9:G134))</f>
        <v/>
      </c>
      <c r="I134" s="148"/>
      <c r="J134" s="149"/>
    </row>
    <row r="135" spans="1:10" ht="20.100000000000001" customHeight="1" x14ac:dyDescent="0.3">
      <c r="A135" s="142">
        <v>127</v>
      </c>
      <c r="B135" s="143"/>
      <c r="C135" s="143"/>
      <c r="D135" s="143"/>
      <c r="E135" s="144"/>
      <c r="F135" s="145"/>
      <c r="G135" s="146" t="str">
        <f t="shared" si="1"/>
        <v/>
      </c>
      <c r="H135" s="147" t="str">
        <f>IF(G135="","",SUM($G$9:G135))</f>
        <v/>
      </c>
      <c r="I135" s="148"/>
      <c r="J135" s="149"/>
    </row>
    <row r="136" spans="1:10" ht="20.100000000000001" customHeight="1" x14ac:dyDescent="0.3">
      <c r="A136" s="142">
        <v>128</v>
      </c>
      <c r="B136" s="143"/>
      <c r="C136" s="143"/>
      <c r="D136" s="143"/>
      <c r="E136" s="144"/>
      <c r="F136" s="145"/>
      <c r="G136" s="146" t="str">
        <f t="shared" si="1"/>
        <v/>
      </c>
      <c r="H136" s="147" t="str">
        <f>IF(G136="","",SUM($G$9:G136))</f>
        <v/>
      </c>
      <c r="I136" s="148"/>
      <c r="J136" s="149"/>
    </row>
    <row r="137" spans="1:10" ht="20.100000000000001" customHeight="1" x14ac:dyDescent="0.3">
      <c r="A137" s="142">
        <v>129</v>
      </c>
      <c r="B137" s="143"/>
      <c r="C137" s="143"/>
      <c r="D137" s="143"/>
      <c r="E137" s="144"/>
      <c r="F137" s="145"/>
      <c r="G137" s="146" t="str">
        <f t="shared" ref="G137:G138" si="2">IF(ISBLANK(E137),"",IF(F137=$O$11,E137*$P$11,IF(F137=$O$12,E137*$P$12,IF(F137=$O$13,E137*$P$13,IF(F137=$O$14,E137*$P$14,"")))))</f>
        <v/>
      </c>
      <c r="H137" s="147" t="str">
        <f>IF(G137="","",SUM($G$9:G137))</f>
        <v/>
      </c>
      <c r="I137" s="148"/>
      <c r="J137" s="149"/>
    </row>
    <row r="138" spans="1:10" ht="20.100000000000001" customHeight="1" x14ac:dyDescent="0.3">
      <c r="A138" s="182">
        <v>130</v>
      </c>
      <c r="B138" s="183"/>
      <c r="C138" s="183"/>
      <c r="D138" s="183"/>
      <c r="E138" s="184"/>
      <c r="F138" s="185"/>
      <c r="G138" s="186" t="str">
        <f t="shared" si="2"/>
        <v/>
      </c>
      <c r="H138" s="187" t="str">
        <f>IF(G138="","",SUM($G$9:G158))</f>
        <v/>
      </c>
      <c r="I138" s="148"/>
      <c r="J138" s="188"/>
    </row>
    <row r="139" spans="1:10" x14ac:dyDescent="0.3">
      <c r="A139" s="182">
        <v>131</v>
      </c>
      <c r="B139" s="183"/>
      <c r="C139" s="183"/>
      <c r="D139" s="183"/>
      <c r="E139" s="184"/>
      <c r="F139" s="185"/>
      <c r="G139" s="186" t="str">
        <f t="shared" ref="G139:G158" si="3">IF(ISBLANK(E139),"",IF(F139=$O$11,E139*$P$11,IF(F139=$O$12,E139*$P$12,IF(F139=$O$13,E139*$P$13,IF(F139=$O$14,E139*$P$14,"")))))</f>
        <v/>
      </c>
      <c r="H139" s="187" t="str">
        <f>IF(G139="","",SUM($G$9:G158))</f>
        <v/>
      </c>
      <c r="I139" s="148"/>
      <c r="J139" s="188"/>
    </row>
    <row r="140" spans="1:10" x14ac:dyDescent="0.3">
      <c r="A140" s="182">
        <v>132</v>
      </c>
      <c r="B140" s="183"/>
      <c r="C140" s="183"/>
      <c r="D140" s="183"/>
      <c r="E140" s="184"/>
      <c r="F140" s="185"/>
      <c r="G140" s="186" t="str">
        <f t="shared" si="3"/>
        <v/>
      </c>
      <c r="H140" s="187" t="str">
        <f>IF(G140="","",SUM($G$9:G158))</f>
        <v/>
      </c>
      <c r="I140" s="148"/>
      <c r="J140" s="188"/>
    </row>
    <row r="141" spans="1:10" x14ac:dyDescent="0.3">
      <c r="A141" s="182">
        <v>133</v>
      </c>
      <c r="B141" s="183"/>
      <c r="C141" s="183"/>
      <c r="D141" s="183"/>
      <c r="E141" s="184"/>
      <c r="F141" s="185"/>
      <c r="G141" s="186" t="str">
        <f t="shared" si="3"/>
        <v/>
      </c>
      <c r="H141" s="187" t="str">
        <f>IF(G141="","",SUM($G$9:G158))</f>
        <v/>
      </c>
      <c r="I141" s="148"/>
      <c r="J141" s="188"/>
    </row>
    <row r="142" spans="1:10" x14ac:dyDescent="0.3">
      <c r="A142" s="182">
        <v>134</v>
      </c>
      <c r="B142" s="183"/>
      <c r="C142" s="183"/>
      <c r="D142" s="183"/>
      <c r="E142" s="184"/>
      <c r="F142" s="185"/>
      <c r="G142" s="186" t="str">
        <f t="shared" si="3"/>
        <v/>
      </c>
      <c r="H142" s="187" t="str">
        <f>IF(G142="","",SUM($G$9:G158))</f>
        <v/>
      </c>
      <c r="I142" s="148"/>
      <c r="J142" s="188"/>
    </row>
    <row r="143" spans="1:10" x14ac:dyDescent="0.3">
      <c r="A143" s="182">
        <v>135</v>
      </c>
      <c r="B143" s="183"/>
      <c r="C143" s="183"/>
      <c r="D143" s="183"/>
      <c r="E143" s="184"/>
      <c r="F143" s="185"/>
      <c r="G143" s="186" t="str">
        <f t="shared" si="3"/>
        <v/>
      </c>
      <c r="H143" s="187" t="str">
        <f>IF(G143="","",SUM($G$9:G158))</f>
        <v/>
      </c>
      <c r="I143" s="148"/>
      <c r="J143" s="188"/>
    </row>
    <row r="144" spans="1:10" x14ac:dyDescent="0.3">
      <c r="A144" s="182">
        <v>136</v>
      </c>
      <c r="B144" s="183"/>
      <c r="C144" s="183"/>
      <c r="D144" s="183"/>
      <c r="E144" s="184"/>
      <c r="F144" s="185"/>
      <c r="G144" s="186" t="str">
        <f t="shared" si="3"/>
        <v/>
      </c>
      <c r="H144" s="187" t="str">
        <f>IF(G144="","",SUM($G$9:G158))</f>
        <v/>
      </c>
      <c r="I144" s="148"/>
      <c r="J144" s="188"/>
    </row>
    <row r="145" spans="1:10" x14ac:dyDescent="0.3">
      <c r="A145" s="182">
        <v>137</v>
      </c>
      <c r="B145" s="183"/>
      <c r="C145" s="183"/>
      <c r="D145" s="183"/>
      <c r="E145" s="184"/>
      <c r="F145" s="185"/>
      <c r="G145" s="186" t="str">
        <f t="shared" si="3"/>
        <v/>
      </c>
      <c r="H145" s="187" t="str">
        <f>IF(G145="","",SUM($G$9:G158))</f>
        <v/>
      </c>
      <c r="I145" s="148"/>
      <c r="J145" s="188"/>
    </row>
    <row r="146" spans="1:10" x14ac:dyDescent="0.3">
      <c r="A146" s="182">
        <v>138</v>
      </c>
      <c r="B146" s="183"/>
      <c r="C146" s="183"/>
      <c r="D146" s="183"/>
      <c r="E146" s="184"/>
      <c r="F146" s="185"/>
      <c r="G146" s="186" t="str">
        <f t="shared" si="3"/>
        <v/>
      </c>
      <c r="H146" s="187" t="str">
        <f>IF(G146="","",SUM($G$9:G158))</f>
        <v/>
      </c>
      <c r="I146" s="148"/>
      <c r="J146" s="188"/>
    </row>
    <row r="147" spans="1:10" x14ac:dyDescent="0.3">
      <c r="A147" s="182">
        <v>139</v>
      </c>
      <c r="B147" s="183"/>
      <c r="C147" s="183"/>
      <c r="D147" s="183"/>
      <c r="E147" s="184"/>
      <c r="F147" s="185"/>
      <c r="G147" s="186" t="str">
        <f t="shared" si="3"/>
        <v/>
      </c>
      <c r="H147" s="187" t="str">
        <f>IF(G147="","",SUM($G$9:G158))</f>
        <v/>
      </c>
      <c r="I147" s="148"/>
      <c r="J147" s="188"/>
    </row>
    <row r="148" spans="1:10" x14ac:dyDescent="0.3">
      <c r="A148" s="182">
        <v>140</v>
      </c>
      <c r="B148" s="183"/>
      <c r="C148" s="183"/>
      <c r="D148" s="183"/>
      <c r="E148" s="184"/>
      <c r="F148" s="185"/>
      <c r="G148" s="186" t="str">
        <f t="shared" si="3"/>
        <v/>
      </c>
      <c r="H148" s="187" t="str">
        <f>IF(G148="","",SUM($G$9:G158))</f>
        <v/>
      </c>
      <c r="I148" s="148"/>
      <c r="J148" s="188"/>
    </row>
    <row r="149" spans="1:10" x14ac:dyDescent="0.3">
      <c r="A149" s="182">
        <v>141</v>
      </c>
      <c r="B149" s="183"/>
      <c r="C149" s="183"/>
      <c r="D149" s="183"/>
      <c r="E149" s="184"/>
      <c r="F149" s="185"/>
      <c r="G149" s="186" t="str">
        <f t="shared" si="3"/>
        <v/>
      </c>
      <c r="H149" s="187" t="str">
        <f>IF(G149="","",SUM($G$9:G158))</f>
        <v/>
      </c>
      <c r="I149" s="148"/>
      <c r="J149" s="188"/>
    </row>
    <row r="150" spans="1:10" x14ac:dyDescent="0.3">
      <c r="A150" s="182">
        <v>142</v>
      </c>
      <c r="B150" s="183"/>
      <c r="C150" s="183"/>
      <c r="D150" s="183"/>
      <c r="E150" s="184"/>
      <c r="F150" s="185"/>
      <c r="G150" s="186" t="str">
        <f t="shared" si="3"/>
        <v/>
      </c>
      <c r="H150" s="187" t="str">
        <f>IF(G150="","",SUM($G$9:G158))</f>
        <v/>
      </c>
      <c r="I150" s="148"/>
      <c r="J150" s="188"/>
    </row>
    <row r="151" spans="1:10" x14ac:dyDescent="0.3">
      <c r="A151" s="182">
        <v>143</v>
      </c>
      <c r="B151" s="183"/>
      <c r="C151" s="183"/>
      <c r="D151" s="183"/>
      <c r="E151" s="184"/>
      <c r="F151" s="185"/>
      <c r="G151" s="186" t="str">
        <f t="shared" si="3"/>
        <v/>
      </c>
      <c r="H151" s="187" t="str">
        <f>IF(G151="","",SUM($G$9:G158))</f>
        <v/>
      </c>
      <c r="I151" s="148"/>
      <c r="J151" s="188"/>
    </row>
    <row r="152" spans="1:10" x14ac:dyDescent="0.3">
      <c r="A152" s="182">
        <v>144</v>
      </c>
      <c r="B152" s="183"/>
      <c r="C152" s="183"/>
      <c r="D152" s="183"/>
      <c r="E152" s="184"/>
      <c r="F152" s="185"/>
      <c r="G152" s="186" t="str">
        <f t="shared" si="3"/>
        <v/>
      </c>
      <c r="H152" s="187" t="str">
        <f>IF(G152="","",SUM($G$9:G158))</f>
        <v/>
      </c>
      <c r="I152" s="148"/>
      <c r="J152" s="188"/>
    </row>
    <row r="153" spans="1:10" x14ac:dyDescent="0.3">
      <c r="A153" s="182">
        <v>145</v>
      </c>
      <c r="B153" s="183"/>
      <c r="C153" s="183"/>
      <c r="D153" s="183"/>
      <c r="E153" s="184"/>
      <c r="F153" s="185"/>
      <c r="G153" s="186" t="str">
        <f t="shared" si="3"/>
        <v/>
      </c>
      <c r="H153" s="187" t="str">
        <f>IF(G153="","",SUM($G$9:G158))</f>
        <v/>
      </c>
      <c r="I153" s="148"/>
      <c r="J153" s="188"/>
    </row>
    <row r="154" spans="1:10" x14ac:dyDescent="0.3">
      <c r="A154" s="182">
        <v>146</v>
      </c>
      <c r="B154" s="183"/>
      <c r="C154" s="183"/>
      <c r="D154" s="183"/>
      <c r="E154" s="184"/>
      <c r="F154" s="185"/>
      <c r="G154" s="186" t="str">
        <f t="shared" si="3"/>
        <v/>
      </c>
      <c r="H154" s="187" t="str">
        <f>IF(G154="","",SUM($G$9:G158))</f>
        <v/>
      </c>
      <c r="I154" s="148"/>
      <c r="J154" s="188"/>
    </row>
    <row r="155" spans="1:10" x14ac:dyDescent="0.3">
      <c r="A155" s="182">
        <v>147</v>
      </c>
      <c r="B155" s="183"/>
      <c r="C155" s="183"/>
      <c r="D155" s="183"/>
      <c r="E155" s="184"/>
      <c r="F155" s="185"/>
      <c r="G155" s="186" t="str">
        <f t="shared" si="3"/>
        <v/>
      </c>
      <c r="H155" s="187" t="str">
        <f>IF(G155="","",SUM($G$9:G158))</f>
        <v/>
      </c>
      <c r="I155" s="148"/>
      <c r="J155" s="188"/>
    </row>
    <row r="156" spans="1:10" x14ac:dyDescent="0.3">
      <c r="A156" s="182">
        <v>148</v>
      </c>
      <c r="B156" s="183"/>
      <c r="C156" s="183"/>
      <c r="D156" s="183"/>
      <c r="E156" s="184"/>
      <c r="F156" s="185"/>
      <c r="G156" s="186" t="str">
        <f t="shared" si="3"/>
        <v/>
      </c>
      <c r="H156" s="187" t="str">
        <f>IF(G156="","",SUM($G$9:G158))</f>
        <v/>
      </c>
      <c r="I156" s="148"/>
      <c r="J156" s="188"/>
    </row>
    <row r="157" spans="1:10" x14ac:dyDescent="0.3">
      <c r="A157" s="182">
        <v>149</v>
      </c>
      <c r="B157" s="183"/>
      <c r="C157" s="183"/>
      <c r="D157" s="183"/>
      <c r="E157" s="184"/>
      <c r="F157" s="185"/>
      <c r="G157" s="186" t="str">
        <f t="shared" si="3"/>
        <v/>
      </c>
      <c r="H157" s="187" t="str">
        <f>IF(G157="","",SUM($G$9:G158))</f>
        <v/>
      </c>
      <c r="I157" s="148"/>
      <c r="J157" s="188"/>
    </row>
    <row r="158" spans="1:10" x14ac:dyDescent="0.3">
      <c r="A158" s="182">
        <v>150</v>
      </c>
      <c r="B158" s="183"/>
      <c r="C158" s="183"/>
      <c r="D158" s="183"/>
      <c r="E158" s="184"/>
      <c r="F158" s="185"/>
      <c r="G158" s="186" t="str">
        <f t="shared" si="3"/>
        <v/>
      </c>
      <c r="H158" s="187" t="str">
        <f>IF(G158="","",SUM($G$9:G158))</f>
        <v/>
      </c>
      <c r="I158" s="148"/>
      <c r="J158" s="188"/>
    </row>
  </sheetData>
  <sheetProtection selectLockedCells="1" sort="0" autoFilter="0"/>
  <mergeCells count="3">
    <mergeCell ref="I3:M3"/>
    <mergeCell ref="A7:J7"/>
    <mergeCell ref="H2:I2"/>
  </mergeCells>
  <conditionalFormatting sqref="A9:J158">
    <cfRule type="expression" dxfId="25" priority="3">
      <formula>$J9="No"</formula>
    </cfRule>
    <cfRule type="expression" dxfId="24" priority="4">
      <formula>$J9="Yes"</formula>
    </cfRule>
  </conditionalFormatting>
  <conditionalFormatting sqref="A68:J68">
    <cfRule type="expression" dxfId="23" priority="1">
      <formula>$J$68="Yes"</formula>
    </cfRule>
  </conditionalFormatting>
  <conditionalFormatting sqref="K68">
    <cfRule type="expression" dxfId="22" priority="2">
      <formula>$J$68="Yes"</formula>
    </cfRule>
  </conditionalFormatting>
  <dataValidations count="6">
    <dataValidation type="whole" operator="greaterThanOrEqual" allowBlank="1" showInputMessage="1" showErrorMessage="1" sqref="B3" xr:uid="{B5DFCC56-9397-4E2E-AB57-4B0A244ABED7}">
      <formula1>1</formula1>
    </dataValidation>
    <dataValidation type="decimal" operator="greaterThanOrEqual" allowBlank="1" showInputMessage="1" showErrorMessage="1" error="Must be greater than 1" sqref="B2" xr:uid="{0CB700C1-B476-4813-9E84-ABA8683D00C6}">
      <formula1>1</formula1>
    </dataValidation>
    <dataValidation allowBlank="1" showInputMessage="1" showErrorMessage="1" prompt="dd/mm/yyyy" sqref="B4" xr:uid="{95CE2077-7A4D-4480-8E16-33C098746D54}"/>
    <dataValidation type="list" allowBlank="1" showInputMessage="1" showErrorMessage="1" sqref="J9:J158" xr:uid="{CDAF05BF-FCCF-4820-8786-674817E28E54}">
      <formula1>"Yes,No"</formula1>
    </dataValidation>
    <dataValidation type="list" allowBlank="1" showInputMessage="1" showErrorMessage="1" sqref="F9:F158" xr:uid="{261FA71C-4747-4CB5-88D9-DC51E8F07832}">
      <formula1>"Monthly,Quarterly,Semi-Annually,Annually"</formula1>
    </dataValidation>
    <dataValidation type="date" operator="greaterThanOrEqual" allowBlank="1" showInputMessage="1" showErrorMessage="1" error="Ensure date is valid" prompt="dd/mm/yyyy" sqref="B5" xr:uid="{B00B4D59-48D1-4D95-8EB5-96161830F9A6}">
      <formula1>B4</formula1>
    </dataValidation>
  </dataValidations>
  <pageMargins left="0.7" right="0.7" top="0.75" bottom="0.75" header="0.3" footer="0.3"/>
  <pageSetup scale="77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B7E7-A943-4DF1-89F8-971E5D1CB688}">
  <sheetPr codeName="Sheet11">
    <tabColor rgb="FF00FF00"/>
  </sheetPr>
  <dimension ref="A1:AD39"/>
  <sheetViews>
    <sheetView showGridLines="0" topLeftCell="K1" zoomScaleNormal="100" workbookViewId="0">
      <selection activeCell="F11" sqref="F11"/>
    </sheetView>
  </sheetViews>
  <sheetFormatPr defaultColWidth="0" defaultRowHeight="14.4" zeroHeight="1" x14ac:dyDescent="0.3"/>
  <cols>
    <col min="1" max="1" width="2.109375" style="22" customWidth="1"/>
    <col min="2" max="2" width="6.5546875" style="22" customWidth="1"/>
    <col min="3" max="3" width="1.5546875" style="22" customWidth="1"/>
    <col min="4" max="4" width="28.33203125" style="22" customWidth="1"/>
    <col min="5" max="5" width="16.109375" style="22" customWidth="1"/>
    <col min="6" max="21" width="9.6640625" style="32" customWidth="1"/>
    <col min="22" max="24" width="9.109375" style="35" customWidth="1"/>
    <col min="25" max="25" width="18.88671875" style="35" hidden="1" customWidth="1"/>
    <col min="26" max="30" width="9.109375" style="35" hidden="1" customWidth="1"/>
    <col min="31" max="16384" width="9.109375" style="22" hidden="1"/>
  </cols>
  <sheetData>
    <row r="1" spans="2:30" ht="20.25" customHeight="1" thickBot="1" x14ac:dyDescent="0.35"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2:30" ht="24" customHeight="1" thickTop="1" thickBot="1" x14ac:dyDescent="0.35">
      <c r="B2" s="36"/>
      <c r="D2" s="37" t="s">
        <v>32</v>
      </c>
      <c r="E2" s="273" t="s">
        <v>33</v>
      </c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38"/>
      <c r="U2" s="38"/>
    </row>
    <row r="3" spans="2:30" ht="24" customHeight="1" thickTop="1" thickBot="1" x14ac:dyDescent="0.35">
      <c r="B3" s="39"/>
      <c r="D3" s="37" t="s">
        <v>34</v>
      </c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38"/>
      <c r="U3" s="38"/>
    </row>
    <row r="4" spans="2:30" ht="24" customHeight="1" thickTop="1" thickBot="1" x14ac:dyDescent="0.35">
      <c r="B4" s="40"/>
      <c r="D4" s="37" t="s">
        <v>35</v>
      </c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38"/>
      <c r="U4" s="38"/>
    </row>
    <row r="5" spans="2:30" ht="24" customHeight="1" thickTop="1" thickBot="1" x14ac:dyDescent="0.35">
      <c r="B5" s="41"/>
      <c r="D5" s="37" t="s">
        <v>36</v>
      </c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38"/>
      <c r="U5" s="38"/>
    </row>
    <row r="6" spans="2:30" ht="34.5" customHeight="1" thickTop="1" thickBot="1" x14ac:dyDescent="0.35">
      <c r="D6" s="37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38"/>
      <c r="U6" s="38"/>
    </row>
    <row r="7" spans="2:30" ht="35.25" customHeight="1" thickTop="1" thickBot="1" x14ac:dyDescent="0.35">
      <c r="B7" s="42" t="s">
        <v>37</v>
      </c>
      <c r="D7" s="111"/>
      <c r="E7" s="274" t="s">
        <v>38</v>
      </c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44"/>
      <c r="U7" s="44"/>
    </row>
    <row r="8" spans="2:30" ht="18" customHeight="1" thickTop="1" x14ac:dyDescent="0.3">
      <c r="B8" s="42"/>
      <c r="D8" s="109" t="s">
        <v>39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4"/>
    </row>
    <row r="9" spans="2:30" ht="18" customHeight="1" x14ac:dyDescent="0.3">
      <c r="B9" s="42"/>
      <c r="D9" s="110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4"/>
      <c r="U9" s="44"/>
    </row>
    <row r="10" spans="2:30" s="45" customFormat="1" ht="97.5" customHeight="1" x14ac:dyDescent="0.3">
      <c r="D10" s="46" t="s">
        <v>40</v>
      </c>
      <c r="E10" s="47" t="s">
        <v>41</v>
      </c>
      <c r="F10" s="48" t="s">
        <v>42</v>
      </c>
      <c r="G10" s="48" t="s">
        <v>43</v>
      </c>
      <c r="H10" s="48" t="s">
        <v>44</v>
      </c>
      <c r="I10" s="48" t="s">
        <v>45</v>
      </c>
      <c r="J10" s="48" t="s">
        <v>46</v>
      </c>
      <c r="K10" s="48" t="s">
        <v>47</v>
      </c>
      <c r="L10" s="48" t="s">
        <v>48</v>
      </c>
      <c r="M10" s="48" t="s">
        <v>49</v>
      </c>
      <c r="N10" s="48" t="s">
        <v>50</v>
      </c>
      <c r="O10" s="48" t="s">
        <v>51</v>
      </c>
      <c r="P10" s="48" t="s">
        <v>52</v>
      </c>
      <c r="Q10" s="48" t="s">
        <v>53</v>
      </c>
      <c r="R10" s="48" t="s">
        <v>54</v>
      </c>
      <c r="S10" s="48" t="s">
        <v>55</v>
      </c>
      <c r="T10" s="48" t="s">
        <v>56</v>
      </c>
      <c r="U10" s="49" t="s">
        <v>57</v>
      </c>
      <c r="V10" s="35"/>
      <c r="W10" s="35"/>
      <c r="X10" s="35"/>
      <c r="Y10" s="35"/>
      <c r="Z10" s="35"/>
      <c r="AA10" s="35"/>
      <c r="AB10" s="35"/>
      <c r="AC10" s="35"/>
      <c r="AD10" s="35"/>
    </row>
    <row r="11" spans="2:30" ht="20.100000000000001" customHeight="1" x14ac:dyDescent="0.3">
      <c r="B11" s="50">
        <v>1</v>
      </c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Y11" s="35" t="s">
        <v>32</v>
      </c>
    </row>
    <row r="12" spans="2:30" ht="20.100000000000001" customHeight="1" x14ac:dyDescent="0.3">
      <c r="B12" s="50">
        <v>2</v>
      </c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Y12" s="35" t="s">
        <v>34</v>
      </c>
    </row>
    <row r="13" spans="2:30" ht="20.100000000000001" customHeight="1" x14ac:dyDescent="0.3">
      <c r="B13" s="50">
        <v>3</v>
      </c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Y13" s="35" t="s">
        <v>58</v>
      </c>
    </row>
    <row r="14" spans="2:30" ht="20.100000000000001" customHeight="1" x14ac:dyDescent="0.3">
      <c r="B14" s="50">
        <v>4</v>
      </c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Y14" s="35" t="s">
        <v>59</v>
      </c>
    </row>
    <row r="15" spans="2:30" ht="20.100000000000001" customHeight="1" x14ac:dyDescent="0.3">
      <c r="B15" s="50">
        <v>5</v>
      </c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2:30" ht="20.100000000000001" customHeight="1" x14ac:dyDescent="0.3">
      <c r="B16" s="50">
        <v>6</v>
      </c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2:21" ht="20.100000000000001" customHeight="1" x14ac:dyDescent="0.3">
      <c r="B17" s="50">
        <v>7</v>
      </c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2:21" ht="20.100000000000001" customHeight="1" x14ac:dyDescent="0.3">
      <c r="B18" s="50">
        <v>8</v>
      </c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2:21" ht="20.100000000000001" customHeight="1" x14ac:dyDescent="0.3">
      <c r="B19" s="50">
        <v>9</v>
      </c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2:21" ht="20.100000000000001" customHeight="1" x14ac:dyDescent="0.3">
      <c r="B20" s="50">
        <v>10</v>
      </c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2:21" ht="20.100000000000001" customHeight="1" x14ac:dyDescent="0.3">
      <c r="B21" s="50">
        <v>11</v>
      </c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2:21" ht="20.100000000000001" customHeight="1" x14ac:dyDescent="0.3">
      <c r="B22" s="50">
        <v>12</v>
      </c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ht="20.100000000000001" customHeight="1" x14ac:dyDescent="0.3">
      <c r="B23" s="50">
        <v>13</v>
      </c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ht="20.100000000000001" customHeight="1" x14ac:dyDescent="0.3">
      <c r="B24" s="50">
        <v>14</v>
      </c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ht="20.100000000000001" customHeight="1" x14ac:dyDescent="0.3">
      <c r="B25" s="50">
        <v>15</v>
      </c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ht="20.100000000000001" customHeight="1" x14ac:dyDescent="0.3">
      <c r="B26" s="50">
        <v>16</v>
      </c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ht="20.100000000000001" customHeight="1" x14ac:dyDescent="0.3">
      <c r="B27" s="50">
        <v>17</v>
      </c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ht="20.100000000000001" customHeight="1" x14ac:dyDescent="0.3">
      <c r="B28" s="50">
        <v>18</v>
      </c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ht="20.100000000000001" customHeight="1" x14ac:dyDescent="0.3">
      <c r="B29" s="50">
        <v>19</v>
      </c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ht="20.100000000000001" customHeight="1" x14ac:dyDescent="0.3">
      <c r="B30" s="50">
        <v>20</v>
      </c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1" ht="20.100000000000001" customHeight="1" x14ac:dyDescent="0.3">
      <c r="B31" s="50">
        <v>21</v>
      </c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20.100000000000001" customHeight="1" x14ac:dyDescent="0.3">
      <c r="B32" s="50">
        <v>22</v>
      </c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2:21" ht="20.100000000000001" customHeight="1" x14ac:dyDescent="0.3">
      <c r="B33" s="50">
        <v>23</v>
      </c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ht="20.100000000000001" customHeight="1" x14ac:dyDescent="0.3">
      <c r="B34" s="50">
        <v>24</v>
      </c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ht="20.100000000000001" customHeight="1" x14ac:dyDescent="0.3">
      <c r="B35" s="50">
        <v>25</v>
      </c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2:21" ht="20.100000000000001" customHeight="1" x14ac:dyDescent="0.3">
      <c r="B36" s="50" t="s">
        <v>60</v>
      </c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2:21" x14ac:dyDescent="0.3"/>
    <row r="38" spans="2:21" x14ac:dyDescent="0.3"/>
    <row r="39" spans="2:21" x14ac:dyDescent="0.3"/>
  </sheetData>
  <sheetProtection algorithmName="SHA-512" hashValue="nYoQbZVPw0ic3KwHwG3rrkOJnxCU9zq47kMUvGWtaECPLEB//0M6V3dhroSPb1jDzTlUbHeFOXRiSVfU0Kge1g==" saltValue="/UI463KxgzdN6LHTWBcmFA==" spinCount="100000" sheet="1" selectLockedCells="1" sort="0" autoFilter="0"/>
  <mergeCells count="2">
    <mergeCell ref="E2:S5"/>
    <mergeCell ref="E7:S7"/>
  </mergeCells>
  <conditionalFormatting sqref="F11:U36">
    <cfRule type="cellIs" dxfId="21" priority="1" operator="equal">
      <formula>$Y$14</formula>
    </cfRule>
    <cfRule type="cellIs" dxfId="20" priority="2" operator="equal">
      <formula>$Y$13</formula>
    </cfRule>
    <cfRule type="cellIs" dxfId="19" priority="4" operator="equal">
      <formula>$Y$12</formula>
    </cfRule>
    <cfRule type="cellIs" dxfId="18" priority="5" operator="equal">
      <formula>$Y$11</formula>
    </cfRule>
  </conditionalFormatting>
  <dataValidations count="1">
    <dataValidation type="list" allowBlank="1" showInputMessage="1" showErrorMessage="1" sqref="F11:U36" xr:uid="{833609C5-9B0C-4C7F-9B8B-02055EE5A5E2}">
      <formula1>$Y$10:$Y$14</formula1>
    </dataValidation>
  </dataValidations>
  <pageMargins left="0.7" right="0.7" top="0.75" bottom="0.75" header="0.3" footer="0.3"/>
  <pageSetup scale="61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EFDA-12D0-4576-825B-09CBC4712383}">
  <sheetPr codeName="Sheet1">
    <tabColor rgb="FFFFFF00"/>
  </sheetPr>
  <dimension ref="A1:AU268"/>
  <sheetViews>
    <sheetView showGridLines="0" topLeftCell="A8" workbookViewId="0">
      <selection activeCell="B14" sqref="B14"/>
    </sheetView>
  </sheetViews>
  <sheetFormatPr defaultColWidth="0" defaultRowHeight="14.4" zeroHeight="1" x14ac:dyDescent="0.3"/>
  <cols>
    <col min="1" max="1" width="6.33203125" style="4" customWidth="1"/>
    <col min="2" max="2" width="15.5546875" customWidth="1"/>
    <col min="3" max="3" width="23.6640625" customWidth="1"/>
    <col min="4" max="4" width="22.6640625" customWidth="1"/>
    <col min="5" max="5" width="13.5546875" customWidth="1"/>
    <col min="6" max="6" width="18" customWidth="1"/>
    <col min="7" max="7" width="24.44140625" customWidth="1"/>
    <col min="8" max="8" width="26.33203125" customWidth="1"/>
    <col min="9" max="9" width="9.109375" customWidth="1"/>
    <col min="10" max="10" width="8.33203125" customWidth="1"/>
    <col min="11" max="11" width="22" customWidth="1"/>
    <col min="12" max="12" width="16.109375" customWidth="1"/>
    <col min="13" max="13" width="14.6640625" customWidth="1"/>
    <col min="14" max="14" width="9.88671875" customWidth="1"/>
    <col min="15" max="15" width="10.6640625" customWidth="1"/>
    <col min="16" max="16" width="14.33203125" customWidth="1"/>
    <col min="17" max="17" width="12" customWidth="1"/>
    <col min="18" max="18" width="11.33203125" customWidth="1"/>
    <col min="19" max="19" width="9.33203125" customWidth="1"/>
    <col min="20" max="20" width="12.33203125" customWidth="1"/>
    <col min="21" max="21" width="11.44140625" customWidth="1"/>
    <col min="22" max="22" width="10.33203125" customWidth="1"/>
    <col min="23" max="23" width="12.6640625" customWidth="1"/>
    <col min="24" max="24" width="10" customWidth="1"/>
    <col min="25" max="25" width="10.88671875" customWidth="1"/>
    <col min="26" max="27" width="10.6640625" customWidth="1"/>
    <col min="28" max="28" width="13.5546875" customWidth="1"/>
    <col min="29" max="29" width="11.88671875" customWidth="1"/>
    <col min="30" max="30" width="10.109375" customWidth="1"/>
    <col min="31" max="31" width="12.109375" customWidth="1"/>
    <col min="32" max="32" width="11.6640625" customWidth="1"/>
    <col min="33" max="33" width="12" customWidth="1"/>
    <col min="34" max="34" width="11" customWidth="1"/>
    <col min="35" max="36" width="10.88671875" customWidth="1"/>
    <col min="37" max="37" width="61.44140625" customWidth="1"/>
    <col min="38" max="39" width="9.109375" style="22" customWidth="1"/>
    <col min="40" max="41" width="9.109375" hidden="1" customWidth="1"/>
    <col min="42" max="42" width="15.33203125" hidden="1" customWidth="1"/>
    <col min="43" max="43" width="20.6640625" hidden="1" customWidth="1"/>
    <col min="44" max="44" width="13.5546875" hidden="1" customWidth="1"/>
    <col min="45" max="47" width="0" hidden="1" customWidth="1"/>
    <col min="48" max="16384" width="9.109375" hidden="1"/>
  </cols>
  <sheetData>
    <row r="1" spans="1:47" s="22" customFormat="1" ht="61.2" x14ac:dyDescent="0.3">
      <c r="A1" s="21"/>
      <c r="B1" s="21"/>
      <c r="C1" s="277" t="s">
        <v>61</v>
      </c>
      <c r="D1" s="277"/>
      <c r="E1" s="277"/>
      <c r="F1" s="277"/>
      <c r="G1" s="277"/>
      <c r="H1" s="277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47" s="22" customFormat="1" x14ac:dyDescent="0.3">
      <c r="A2" s="23"/>
    </row>
    <row r="3" spans="1:47" s="22" customFormat="1" ht="15" customHeight="1" x14ac:dyDescent="0.3">
      <c r="A3" s="24" t="s">
        <v>62</v>
      </c>
      <c r="B3" s="25" t="s">
        <v>63</v>
      </c>
      <c r="C3" s="275" t="s">
        <v>64</v>
      </c>
      <c r="D3" s="276"/>
      <c r="E3" s="276"/>
      <c r="F3" s="276"/>
      <c r="G3" s="276"/>
      <c r="H3" s="276"/>
    </row>
    <row r="4" spans="1:47" s="22" customFormat="1" ht="15" customHeight="1" x14ac:dyDescent="0.3">
      <c r="A4" s="23"/>
      <c r="B4" s="26" t="s">
        <v>65</v>
      </c>
      <c r="C4" s="275"/>
      <c r="D4" s="276"/>
      <c r="E4" s="276"/>
      <c r="F4" s="276"/>
      <c r="G4" s="276"/>
      <c r="H4" s="276"/>
    </row>
    <row r="5" spans="1:47" s="22" customFormat="1" ht="15" customHeight="1" x14ac:dyDescent="0.3">
      <c r="A5" s="23"/>
      <c r="B5" s="27" t="s">
        <v>66</v>
      </c>
      <c r="C5" s="275"/>
      <c r="D5" s="276"/>
      <c r="E5" s="276"/>
      <c r="F5" s="276"/>
      <c r="G5" s="276"/>
      <c r="H5" s="276"/>
    </row>
    <row r="6" spans="1:47" s="22" customFormat="1" ht="15" customHeight="1" x14ac:dyDescent="0.3">
      <c r="A6" s="23"/>
      <c r="B6" s="33" t="s">
        <v>67</v>
      </c>
      <c r="C6" s="275"/>
      <c r="D6" s="276"/>
      <c r="E6" s="276"/>
      <c r="F6" s="276"/>
      <c r="G6" s="276"/>
      <c r="H6" s="276"/>
    </row>
    <row r="7" spans="1:47" s="22" customFormat="1" ht="15" customHeight="1" x14ac:dyDescent="0.3">
      <c r="A7" s="23"/>
      <c r="B7" s="33" t="s">
        <v>68</v>
      </c>
      <c r="C7" s="275"/>
      <c r="D7" s="276"/>
      <c r="E7" s="276"/>
      <c r="F7" s="276"/>
      <c r="G7" s="276"/>
      <c r="H7" s="276"/>
    </row>
    <row r="8" spans="1:47" s="22" customFormat="1" ht="15.75" customHeight="1" x14ac:dyDescent="0.3">
      <c r="A8" s="23"/>
      <c r="B8" s="28" t="s">
        <v>69</v>
      </c>
      <c r="C8" s="275"/>
      <c r="D8" s="276"/>
      <c r="E8" s="276"/>
      <c r="F8" s="276"/>
      <c r="G8" s="276"/>
      <c r="H8" s="276"/>
    </row>
    <row r="9" spans="1:47" s="22" customFormat="1" ht="15.6" x14ac:dyDescent="0.3">
      <c r="A9" s="23"/>
      <c r="B9" s="29"/>
      <c r="C9" s="30"/>
      <c r="D9" s="30"/>
      <c r="E9" s="30"/>
      <c r="F9" s="30"/>
      <c r="G9" s="30"/>
    </row>
    <row r="10" spans="1:47" s="22" customFormat="1" x14ac:dyDescent="0.3">
      <c r="A10" s="23"/>
    </row>
    <row r="11" spans="1:47" s="10" customFormat="1" ht="57" customHeight="1" x14ac:dyDescent="0.3">
      <c r="B11" s="284" t="s">
        <v>70</v>
      </c>
      <c r="C11" s="285"/>
      <c r="D11" s="285"/>
      <c r="E11" s="285"/>
      <c r="F11" s="285"/>
      <c r="G11" s="285"/>
      <c r="H11" s="286"/>
      <c r="I11" s="281" t="s">
        <v>71</v>
      </c>
      <c r="J11" s="281"/>
      <c r="K11" s="281"/>
      <c r="L11" s="281"/>
      <c r="M11" s="281"/>
      <c r="N11" s="281"/>
      <c r="O11" s="281"/>
      <c r="P11" s="281"/>
      <c r="Q11" s="281"/>
      <c r="R11" s="278" t="s">
        <v>72</v>
      </c>
      <c r="S11" s="279"/>
      <c r="T11" s="279"/>
      <c r="U11" s="279"/>
      <c r="V11" s="279"/>
      <c r="W11" s="279"/>
      <c r="X11" s="280"/>
      <c r="Y11" s="282" t="s">
        <v>73</v>
      </c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3"/>
      <c r="AK11" s="13"/>
      <c r="AL11" s="31"/>
      <c r="AM11" s="31"/>
    </row>
    <row r="12" spans="1:47" s="1" customFormat="1" ht="84" customHeight="1" x14ac:dyDescent="0.3">
      <c r="B12" s="5" t="s">
        <v>74</v>
      </c>
      <c r="C12" s="5" t="s">
        <v>75</v>
      </c>
      <c r="D12" s="5" t="s">
        <v>41</v>
      </c>
      <c r="E12" s="5" t="s">
        <v>76</v>
      </c>
      <c r="F12" s="5" t="s">
        <v>77</v>
      </c>
      <c r="G12" s="5" t="s">
        <v>78</v>
      </c>
      <c r="H12" s="5" t="s">
        <v>79</v>
      </c>
      <c r="I12" s="6" t="s">
        <v>80</v>
      </c>
      <c r="J12" s="6" t="s">
        <v>81</v>
      </c>
      <c r="K12" s="6" t="s">
        <v>82</v>
      </c>
      <c r="L12" s="6" t="s">
        <v>83</v>
      </c>
      <c r="M12" s="6" t="s">
        <v>84</v>
      </c>
      <c r="N12" s="6" t="s">
        <v>85</v>
      </c>
      <c r="O12" s="6" t="s">
        <v>86</v>
      </c>
      <c r="P12" s="6" t="s">
        <v>87</v>
      </c>
      <c r="Q12" s="6" t="s">
        <v>88</v>
      </c>
      <c r="R12" s="7" t="s">
        <v>89</v>
      </c>
      <c r="S12" s="8" t="s">
        <v>90</v>
      </c>
      <c r="T12" s="8" t="s">
        <v>91</v>
      </c>
      <c r="U12" s="8" t="s">
        <v>92</v>
      </c>
      <c r="V12" s="8" t="s">
        <v>93</v>
      </c>
      <c r="W12" s="8" t="s">
        <v>94</v>
      </c>
      <c r="X12" s="9" t="s">
        <v>95</v>
      </c>
      <c r="Y12" s="11" t="s">
        <v>96</v>
      </c>
      <c r="Z12" s="11" t="s">
        <v>97</v>
      </c>
      <c r="AA12" s="11" t="s">
        <v>98</v>
      </c>
      <c r="AB12" s="11" t="s">
        <v>99</v>
      </c>
      <c r="AC12" s="11" t="s">
        <v>100</v>
      </c>
      <c r="AD12" s="11" t="s">
        <v>101</v>
      </c>
      <c r="AE12" s="11" t="s">
        <v>102</v>
      </c>
      <c r="AF12" s="11" t="s">
        <v>56</v>
      </c>
      <c r="AG12" s="11" t="s">
        <v>59</v>
      </c>
      <c r="AH12" s="11" t="s">
        <v>103</v>
      </c>
      <c r="AI12" s="11" t="s">
        <v>55</v>
      </c>
      <c r="AJ12" s="12" t="s">
        <v>104</v>
      </c>
      <c r="AK12" s="14" t="s">
        <v>105</v>
      </c>
      <c r="AL12" s="32"/>
      <c r="AM12" s="32"/>
      <c r="AO12" s="1" t="s">
        <v>81</v>
      </c>
      <c r="AP12" s="1" t="s">
        <v>74</v>
      </c>
      <c r="AQ12" s="1" t="s">
        <v>106</v>
      </c>
      <c r="AR12" s="1" t="s">
        <v>84</v>
      </c>
      <c r="AS12" s="1" t="s">
        <v>107</v>
      </c>
      <c r="AT12" s="1" t="s">
        <v>108</v>
      </c>
      <c r="AU12" s="1" t="s">
        <v>109</v>
      </c>
    </row>
    <row r="13" spans="1:47" s="4" customFormat="1" ht="20.100000000000001" customHeight="1" x14ac:dyDescent="0.3">
      <c r="A13" s="20" cm="1">
        <f t="array" ref="A13:A262">_xlfn.SEQUENCE(250,1,1,1)</f>
        <v>1</v>
      </c>
      <c r="B13" s="15"/>
      <c r="C13" s="15"/>
      <c r="D13" s="15"/>
      <c r="E13" s="15"/>
      <c r="F13" s="15"/>
      <c r="G13" s="15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7"/>
      <c r="S13" s="17"/>
      <c r="T13" s="17"/>
      <c r="U13" s="17"/>
      <c r="V13" s="17"/>
      <c r="W13" s="17"/>
      <c r="X13" s="17"/>
      <c r="Y13" s="18" t="s">
        <v>110</v>
      </c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  <c r="AL13" s="23"/>
      <c r="AM13" s="23"/>
    </row>
    <row r="14" spans="1:47" ht="20.100000000000001" customHeight="1" x14ac:dyDescent="0.3">
      <c r="A14" s="20">
        <v>2</v>
      </c>
      <c r="B14" s="15"/>
      <c r="C14" s="15"/>
      <c r="D14" s="15"/>
      <c r="E14" s="15"/>
      <c r="F14" s="15"/>
      <c r="G14" s="15"/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7"/>
      <c r="S14" s="17"/>
      <c r="T14" s="17"/>
      <c r="U14" s="17"/>
      <c r="V14" s="17"/>
      <c r="W14" s="17"/>
      <c r="X14" s="17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9"/>
      <c r="AO14" t="s">
        <v>111</v>
      </c>
      <c r="AP14" t="s">
        <v>63</v>
      </c>
      <c r="AQ14" t="s">
        <v>112</v>
      </c>
      <c r="AR14" t="s">
        <v>113</v>
      </c>
      <c r="AS14" t="s">
        <v>31</v>
      </c>
      <c r="AT14" t="s">
        <v>114</v>
      </c>
      <c r="AU14">
        <v>1</v>
      </c>
    </row>
    <row r="15" spans="1:47" ht="20.100000000000001" customHeight="1" x14ac:dyDescent="0.3">
      <c r="A15" s="20">
        <v>3</v>
      </c>
      <c r="B15" s="15"/>
      <c r="C15" s="15"/>
      <c r="D15" s="15"/>
      <c r="E15" s="15"/>
      <c r="F15" s="15"/>
      <c r="G15" s="15"/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7"/>
      <c r="S15" s="17"/>
      <c r="T15" s="17"/>
      <c r="U15" s="17"/>
      <c r="V15" s="17"/>
      <c r="W15" s="17"/>
      <c r="X15" s="17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9"/>
      <c r="AO15" t="s">
        <v>115</v>
      </c>
      <c r="AP15" t="s">
        <v>65</v>
      </c>
      <c r="AQ15" t="s">
        <v>116</v>
      </c>
      <c r="AR15" t="s">
        <v>117</v>
      </c>
      <c r="AS15" t="s">
        <v>17</v>
      </c>
      <c r="AT15" t="s">
        <v>110</v>
      </c>
      <c r="AU15">
        <v>2</v>
      </c>
    </row>
    <row r="16" spans="1:47" ht="20.100000000000001" customHeight="1" x14ac:dyDescent="0.3">
      <c r="A16" s="20">
        <v>4</v>
      </c>
      <c r="B16" s="15"/>
      <c r="C16" s="15"/>
      <c r="D16" s="15"/>
      <c r="E16" s="15"/>
      <c r="F16" s="15"/>
      <c r="G16" s="15"/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9"/>
      <c r="AP16" t="s">
        <v>66</v>
      </c>
      <c r="AQ16" t="s">
        <v>118</v>
      </c>
      <c r="AR16" t="s">
        <v>119</v>
      </c>
      <c r="AT16" t="s">
        <v>120</v>
      </c>
      <c r="AU16">
        <v>3</v>
      </c>
    </row>
    <row r="17" spans="1:47" ht="20.100000000000001" customHeight="1" x14ac:dyDescent="0.3">
      <c r="A17" s="20">
        <v>5</v>
      </c>
      <c r="B17" s="15"/>
      <c r="C17" s="15"/>
      <c r="D17" s="15"/>
      <c r="E17" s="15"/>
      <c r="F17" s="15"/>
      <c r="G17" s="15"/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9"/>
      <c r="AP17" t="s">
        <v>67</v>
      </c>
      <c r="AQ17" t="s">
        <v>121</v>
      </c>
      <c r="AR17" t="s">
        <v>122</v>
      </c>
      <c r="AU17">
        <v>4</v>
      </c>
    </row>
    <row r="18" spans="1:47" ht="20.100000000000001" customHeight="1" x14ac:dyDescent="0.3">
      <c r="A18" s="20">
        <v>6</v>
      </c>
      <c r="B18" s="15"/>
      <c r="C18" s="15"/>
      <c r="D18" s="15"/>
      <c r="E18" s="15"/>
      <c r="F18" s="15"/>
      <c r="G18" s="15"/>
      <c r="H18" s="15"/>
      <c r="I18" s="16"/>
      <c r="J18" s="16"/>
      <c r="K18" s="16"/>
      <c r="L18" s="16"/>
      <c r="M18" s="16"/>
      <c r="N18" s="16"/>
      <c r="O18" s="16"/>
      <c r="P18" s="16"/>
      <c r="Q18" s="16"/>
      <c r="R18" s="17"/>
      <c r="S18" s="17"/>
      <c r="T18" s="17"/>
      <c r="U18" s="17"/>
      <c r="V18" s="17"/>
      <c r="W18" s="17"/>
      <c r="X18" s="17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9"/>
      <c r="AP18" t="s">
        <v>68</v>
      </c>
      <c r="AQ18" t="s">
        <v>123</v>
      </c>
      <c r="AR18" t="s">
        <v>124</v>
      </c>
      <c r="AU18" t="s">
        <v>125</v>
      </c>
    </row>
    <row r="19" spans="1:47" ht="20.100000000000001" customHeight="1" x14ac:dyDescent="0.3">
      <c r="A19" s="20">
        <v>7</v>
      </c>
      <c r="B19" s="15"/>
      <c r="C19" s="15"/>
      <c r="D19" s="15"/>
      <c r="E19" s="15"/>
      <c r="F19" s="15"/>
      <c r="G19" s="15"/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7"/>
      <c r="S19" s="17"/>
      <c r="T19" s="17"/>
      <c r="U19" s="17"/>
      <c r="V19" s="17"/>
      <c r="W19" s="17"/>
      <c r="X19" s="1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9"/>
      <c r="AP19" t="s">
        <v>69</v>
      </c>
      <c r="AQ19" t="s">
        <v>126</v>
      </c>
      <c r="AR19" t="s">
        <v>127</v>
      </c>
    </row>
    <row r="20" spans="1:47" ht="20.100000000000001" customHeight="1" x14ac:dyDescent="0.3">
      <c r="A20" s="20">
        <v>8</v>
      </c>
      <c r="B20" s="15"/>
      <c r="C20" s="15"/>
      <c r="D20" s="15"/>
      <c r="E20" s="15"/>
      <c r="F20" s="15"/>
      <c r="G20" s="15"/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17"/>
      <c r="T20" s="17"/>
      <c r="U20" s="17"/>
      <c r="V20" s="17"/>
      <c r="W20" s="17"/>
      <c r="X20" s="17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9"/>
      <c r="AQ20" t="s">
        <v>128</v>
      </c>
    </row>
    <row r="21" spans="1:47" ht="20.100000000000001" customHeight="1" x14ac:dyDescent="0.3">
      <c r="A21" s="20">
        <v>9</v>
      </c>
      <c r="B21" s="15"/>
      <c r="C21" s="15"/>
      <c r="D21" s="15"/>
      <c r="E21" s="15"/>
      <c r="F21" s="15"/>
      <c r="G21" s="15"/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7"/>
      <c r="S21" s="17"/>
      <c r="T21" s="17"/>
      <c r="U21" s="17"/>
      <c r="V21" s="17"/>
      <c r="W21" s="17"/>
      <c r="X21" s="17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9"/>
      <c r="AQ21" t="s">
        <v>129</v>
      </c>
    </row>
    <row r="22" spans="1:47" ht="20.100000000000001" customHeight="1" x14ac:dyDescent="0.3">
      <c r="A22" s="20">
        <v>10</v>
      </c>
      <c r="B22" s="15"/>
      <c r="C22" s="15"/>
      <c r="D22" s="15"/>
      <c r="E22" s="15"/>
      <c r="F22" s="15"/>
      <c r="G22" s="15"/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7"/>
      <c r="T22" s="17"/>
      <c r="U22" s="17"/>
      <c r="V22" s="17"/>
      <c r="W22" s="17"/>
      <c r="X22" s="17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9"/>
      <c r="AQ22" t="s">
        <v>130</v>
      </c>
    </row>
    <row r="23" spans="1:47" ht="20.100000000000001" customHeight="1" x14ac:dyDescent="0.3">
      <c r="A23" s="20">
        <v>11</v>
      </c>
      <c r="B23" s="15"/>
      <c r="C23" s="15"/>
      <c r="D23" s="15"/>
      <c r="E23" s="15"/>
      <c r="F23" s="15"/>
      <c r="G23" s="15"/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7"/>
      <c r="T23" s="17"/>
      <c r="U23" s="17"/>
      <c r="V23" s="17"/>
      <c r="W23" s="17"/>
      <c r="X23" s="17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9"/>
      <c r="AQ23" t="s">
        <v>131</v>
      </c>
    </row>
    <row r="24" spans="1:47" ht="20.100000000000001" customHeight="1" x14ac:dyDescent="0.3">
      <c r="A24" s="20">
        <v>12</v>
      </c>
      <c r="B24" s="15"/>
      <c r="C24" s="15"/>
      <c r="D24" s="15"/>
      <c r="E24" s="15"/>
      <c r="F24" s="15"/>
      <c r="G24" s="15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7"/>
      <c r="S24" s="17"/>
      <c r="T24" s="17"/>
      <c r="U24" s="17"/>
      <c r="V24" s="17"/>
      <c r="W24" s="17"/>
      <c r="X24" s="17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9"/>
      <c r="AQ24" t="s">
        <v>132</v>
      </c>
    </row>
    <row r="25" spans="1:47" ht="20.100000000000001" customHeight="1" x14ac:dyDescent="0.3">
      <c r="A25" s="20">
        <v>13</v>
      </c>
      <c r="B25" s="15"/>
      <c r="C25" s="15"/>
      <c r="D25" s="15"/>
      <c r="E25" s="15"/>
      <c r="F25" s="15"/>
      <c r="G25" s="15"/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7"/>
      <c r="S25" s="17"/>
      <c r="T25" s="17"/>
      <c r="U25" s="17"/>
      <c r="V25" s="17"/>
      <c r="W25" s="17"/>
      <c r="X25" s="17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9"/>
      <c r="AQ25" t="s">
        <v>133</v>
      </c>
    </row>
    <row r="26" spans="1:47" ht="20.100000000000001" customHeight="1" x14ac:dyDescent="0.3">
      <c r="A26" s="20">
        <v>14</v>
      </c>
      <c r="B26" s="15"/>
      <c r="C26" s="15"/>
      <c r="D26" s="15"/>
      <c r="E26" s="15"/>
      <c r="F26" s="15"/>
      <c r="G26" s="15"/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7"/>
      <c r="S26" s="17"/>
      <c r="T26" s="17"/>
      <c r="U26" s="17"/>
      <c r="V26" s="17"/>
      <c r="W26" s="17"/>
      <c r="X26" s="17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9"/>
      <c r="AQ26" t="s">
        <v>134</v>
      </c>
    </row>
    <row r="27" spans="1:47" ht="20.100000000000001" customHeight="1" x14ac:dyDescent="0.3">
      <c r="A27" s="20">
        <v>15</v>
      </c>
      <c r="B27" s="15"/>
      <c r="C27" s="15"/>
      <c r="D27" s="15"/>
      <c r="E27" s="15"/>
      <c r="F27" s="15"/>
      <c r="G27" s="15"/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7"/>
      <c r="S27" s="17"/>
      <c r="T27" s="17"/>
      <c r="U27" s="17"/>
      <c r="V27" s="17"/>
      <c r="W27" s="17"/>
      <c r="X27" s="17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9"/>
    </row>
    <row r="28" spans="1:47" ht="20.100000000000001" customHeight="1" x14ac:dyDescent="0.3">
      <c r="A28" s="20">
        <v>16</v>
      </c>
      <c r="B28" s="15"/>
      <c r="C28" s="15"/>
      <c r="D28" s="15"/>
      <c r="E28" s="15"/>
      <c r="F28" s="15"/>
      <c r="G28" s="15"/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9"/>
    </row>
    <row r="29" spans="1:47" ht="20.100000000000001" customHeight="1" x14ac:dyDescent="0.3">
      <c r="A29" s="20">
        <v>17</v>
      </c>
      <c r="B29" s="15"/>
      <c r="C29" s="15"/>
      <c r="D29" s="15"/>
      <c r="E29" s="15"/>
      <c r="F29" s="15"/>
      <c r="G29" s="15"/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7"/>
      <c r="S29" s="17"/>
      <c r="T29" s="17"/>
      <c r="U29" s="17"/>
      <c r="V29" s="17"/>
      <c r="W29" s="17"/>
      <c r="X29" s="17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9"/>
    </row>
    <row r="30" spans="1:47" ht="20.100000000000001" customHeight="1" x14ac:dyDescent="0.3">
      <c r="A30" s="20">
        <v>18</v>
      </c>
      <c r="B30" s="15"/>
      <c r="C30" s="15"/>
      <c r="D30" s="15"/>
      <c r="E30" s="15"/>
      <c r="F30" s="15"/>
      <c r="G30" s="15"/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7"/>
      <c r="S30" s="17"/>
      <c r="T30" s="17"/>
      <c r="U30" s="17"/>
      <c r="V30" s="17"/>
      <c r="W30" s="17"/>
      <c r="X30" s="17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9"/>
    </row>
    <row r="31" spans="1:47" ht="20.100000000000001" customHeight="1" x14ac:dyDescent="0.3">
      <c r="A31" s="20">
        <v>19</v>
      </c>
      <c r="B31" s="15"/>
      <c r="C31" s="15"/>
      <c r="D31" s="15"/>
      <c r="E31" s="15"/>
      <c r="F31" s="15"/>
      <c r="G31" s="15"/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7"/>
      <c r="S31" s="17"/>
      <c r="T31" s="17"/>
      <c r="U31" s="17"/>
      <c r="V31" s="17"/>
      <c r="W31" s="17"/>
      <c r="X31" s="17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9"/>
    </row>
    <row r="32" spans="1:47" ht="20.100000000000001" customHeight="1" x14ac:dyDescent="0.3">
      <c r="A32" s="20">
        <v>20</v>
      </c>
      <c r="B32" s="15"/>
      <c r="C32" s="15"/>
      <c r="D32" s="15"/>
      <c r="E32" s="15"/>
      <c r="F32" s="15"/>
      <c r="G32" s="15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9"/>
    </row>
    <row r="33" spans="1:37" ht="20.100000000000001" customHeight="1" x14ac:dyDescent="0.3">
      <c r="A33" s="20">
        <v>21</v>
      </c>
      <c r="B33" s="15"/>
      <c r="C33" s="15"/>
      <c r="D33" s="15"/>
      <c r="E33" s="15"/>
      <c r="F33" s="15"/>
      <c r="G33" s="15"/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7"/>
      <c r="S33" s="17"/>
      <c r="T33" s="17"/>
      <c r="U33" s="17"/>
      <c r="V33" s="17"/>
      <c r="W33" s="17"/>
      <c r="X33" s="17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9"/>
    </row>
    <row r="34" spans="1:37" ht="20.100000000000001" customHeight="1" x14ac:dyDescent="0.3">
      <c r="A34" s="20">
        <v>22</v>
      </c>
      <c r="B34" s="15"/>
      <c r="C34" s="15"/>
      <c r="D34" s="15"/>
      <c r="E34" s="15"/>
      <c r="F34" s="15"/>
      <c r="G34" s="15"/>
      <c r="H34" s="15"/>
      <c r="I34" s="16"/>
      <c r="J34" s="16"/>
      <c r="K34" s="16"/>
      <c r="L34" s="16"/>
      <c r="M34" s="16"/>
      <c r="N34" s="16"/>
      <c r="O34" s="16"/>
      <c r="P34" s="16"/>
      <c r="Q34" s="16"/>
      <c r="R34" s="17"/>
      <c r="S34" s="17"/>
      <c r="T34" s="17"/>
      <c r="U34" s="17"/>
      <c r="V34" s="17"/>
      <c r="W34" s="17"/>
      <c r="X34" s="17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9"/>
    </row>
    <row r="35" spans="1:37" ht="20.100000000000001" customHeight="1" x14ac:dyDescent="0.3">
      <c r="A35" s="20">
        <v>23</v>
      </c>
      <c r="B35" s="15"/>
      <c r="C35" s="15"/>
      <c r="D35" s="15"/>
      <c r="E35" s="15"/>
      <c r="F35" s="15"/>
      <c r="G35" s="15"/>
      <c r="H35" s="15"/>
      <c r="I35" s="16"/>
      <c r="J35" s="16"/>
      <c r="K35" s="16"/>
      <c r="L35" s="16"/>
      <c r="M35" s="16"/>
      <c r="N35" s="16"/>
      <c r="O35" s="16"/>
      <c r="P35" s="16"/>
      <c r="Q35" s="16"/>
      <c r="R35" s="17"/>
      <c r="S35" s="17"/>
      <c r="T35" s="17"/>
      <c r="U35" s="17"/>
      <c r="V35" s="17"/>
      <c r="W35" s="17"/>
      <c r="X35" s="17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9"/>
    </row>
    <row r="36" spans="1:37" ht="20.100000000000001" customHeight="1" x14ac:dyDescent="0.3">
      <c r="A36" s="20">
        <v>24</v>
      </c>
      <c r="B36" s="15"/>
      <c r="C36" s="15"/>
      <c r="D36" s="15"/>
      <c r="E36" s="15"/>
      <c r="F36" s="15"/>
      <c r="G36" s="15"/>
      <c r="H36" s="15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7"/>
      <c r="T36" s="17"/>
      <c r="U36" s="17"/>
      <c r="V36" s="17"/>
      <c r="W36" s="17"/>
      <c r="X36" s="17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9"/>
    </row>
    <row r="37" spans="1:37" ht="20.100000000000001" customHeight="1" x14ac:dyDescent="0.3">
      <c r="A37" s="20">
        <v>25</v>
      </c>
      <c r="B37" s="15"/>
      <c r="C37" s="15"/>
      <c r="D37" s="15"/>
      <c r="E37" s="15"/>
      <c r="F37" s="15"/>
      <c r="G37" s="15"/>
      <c r="H37" s="15"/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7"/>
      <c r="T37" s="17"/>
      <c r="U37" s="17"/>
      <c r="V37" s="17"/>
      <c r="W37" s="17"/>
      <c r="X37" s="17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9"/>
    </row>
    <row r="38" spans="1:37" ht="20.100000000000001" customHeight="1" x14ac:dyDescent="0.3">
      <c r="A38" s="20">
        <v>26</v>
      </c>
      <c r="B38" s="15"/>
      <c r="C38" s="15"/>
      <c r="D38" s="15"/>
      <c r="E38" s="15"/>
      <c r="F38" s="15"/>
      <c r="G38" s="15"/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7"/>
      <c r="S38" s="17"/>
      <c r="T38" s="17"/>
      <c r="U38" s="17"/>
      <c r="V38" s="17"/>
      <c r="W38" s="17"/>
      <c r="X38" s="17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9"/>
    </row>
    <row r="39" spans="1:37" ht="20.100000000000001" customHeight="1" x14ac:dyDescent="0.3">
      <c r="A39" s="20">
        <v>27</v>
      </c>
      <c r="B39" s="15"/>
      <c r="C39" s="15"/>
      <c r="D39" s="15"/>
      <c r="E39" s="15"/>
      <c r="F39" s="15"/>
      <c r="G39" s="15"/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7"/>
      <c r="T39" s="17"/>
      <c r="U39" s="17"/>
      <c r="V39" s="17"/>
      <c r="W39" s="17"/>
      <c r="X39" s="17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</row>
    <row r="40" spans="1:37" ht="20.100000000000001" customHeight="1" x14ac:dyDescent="0.3">
      <c r="A40" s="20">
        <v>28</v>
      </c>
      <c r="B40" s="15"/>
      <c r="C40" s="15"/>
      <c r="D40" s="15"/>
      <c r="E40" s="15"/>
      <c r="F40" s="15"/>
      <c r="G40" s="15"/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7"/>
      <c r="S40" s="17"/>
      <c r="T40" s="17"/>
      <c r="U40" s="17"/>
      <c r="V40" s="17"/>
      <c r="W40" s="17"/>
      <c r="X40" s="17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9"/>
    </row>
    <row r="41" spans="1:37" ht="20.100000000000001" customHeight="1" x14ac:dyDescent="0.3">
      <c r="A41" s="20">
        <v>29</v>
      </c>
      <c r="B41" s="15"/>
      <c r="C41" s="15"/>
      <c r="D41" s="15"/>
      <c r="E41" s="15"/>
      <c r="F41" s="15"/>
      <c r="G41" s="15"/>
      <c r="H41" s="15"/>
      <c r="I41" s="16"/>
      <c r="J41" s="16"/>
      <c r="K41" s="16"/>
      <c r="L41" s="16"/>
      <c r="M41" s="16"/>
      <c r="N41" s="16"/>
      <c r="O41" s="16"/>
      <c r="P41" s="16"/>
      <c r="Q41" s="16"/>
      <c r="R41" s="17"/>
      <c r="S41" s="17"/>
      <c r="T41" s="17"/>
      <c r="U41" s="17"/>
      <c r="V41" s="17"/>
      <c r="W41" s="17"/>
      <c r="X41" s="17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9"/>
    </row>
    <row r="42" spans="1:37" ht="20.100000000000001" customHeight="1" x14ac:dyDescent="0.3">
      <c r="A42" s="20">
        <v>30</v>
      </c>
      <c r="B42" s="15"/>
      <c r="C42" s="15"/>
      <c r="D42" s="15"/>
      <c r="E42" s="15"/>
      <c r="F42" s="15"/>
      <c r="G42" s="15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7"/>
      <c r="S42" s="17"/>
      <c r="T42" s="17"/>
      <c r="U42" s="17"/>
      <c r="V42" s="17"/>
      <c r="W42" s="17"/>
      <c r="X42" s="17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9"/>
    </row>
    <row r="43" spans="1:37" ht="20.100000000000001" customHeight="1" x14ac:dyDescent="0.3">
      <c r="A43" s="20">
        <v>31</v>
      </c>
      <c r="B43" s="15"/>
      <c r="C43" s="15"/>
      <c r="D43" s="15"/>
      <c r="E43" s="15"/>
      <c r="F43" s="15"/>
      <c r="G43" s="15"/>
      <c r="H43" s="15"/>
      <c r="I43" s="16"/>
      <c r="J43" s="16"/>
      <c r="K43" s="16"/>
      <c r="L43" s="16"/>
      <c r="M43" s="16"/>
      <c r="N43" s="16"/>
      <c r="O43" s="16"/>
      <c r="P43" s="16"/>
      <c r="Q43" s="16"/>
      <c r="R43" s="17"/>
      <c r="S43" s="17"/>
      <c r="T43" s="17"/>
      <c r="U43" s="17"/>
      <c r="V43" s="17"/>
      <c r="W43" s="17"/>
      <c r="X43" s="17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</row>
    <row r="44" spans="1:37" ht="20.100000000000001" customHeight="1" x14ac:dyDescent="0.3">
      <c r="A44" s="20">
        <v>32</v>
      </c>
      <c r="B44" s="15"/>
      <c r="C44" s="15"/>
      <c r="D44" s="15"/>
      <c r="E44" s="15"/>
      <c r="F44" s="15"/>
      <c r="G44" s="15"/>
      <c r="H44" s="15"/>
      <c r="I44" s="16"/>
      <c r="J44" s="16"/>
      <c r="K44" s="16"/>
      <c r="L44" s="16"/>
      <c r="M44" s="16"/>
      <c r="N44" s="16"/>
      <c r="O44" s="16"/>
      <c r="P44" s="16"/>
      <c r="Q44" s="16"/>
      <c r="R44" s="17"/>
      <c r="S44" s="17"/>
      <c r="T44" s="17"/>
      <c r="U44" s="17"/>
      <c r="V44" s="17"/>
      <c r="W44" s="17"/>
      <c r="X44" s="17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</row>
    <row r="45" spans="1:37" ht="20.100000000000001" customHeight="1" x14ac:dyDescent="0.3">
      <c r="A45" s="20">
        <v>33</v>
      </c>
      <c r="B45" s="15"/>
      <c r="C45" s="15"/>
      <c r="D45" s="15"/>
      <c r="E45" s="15"/>
      <c r="F45" s="15"/>
      <c r="G45" s="15"/>
      <c r="H45" s="15"/>
      <c r="I45" s="16"/>
      <c r="J45" s="16"/>
      <c r="K45" s="16"/>
      <c r="L45" s="16"/>
      <c r="M45" s="16"/>
      <c r="N45" s="16"/>
      <c r="O45" s="16"/>
      <c r="P45" s="16"/>
      <c r="Q45" s="16"/>
      <c r="R45" s="17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spans="1:37" ht="20.100000000000001" customHeight="1" x14ac:dyDescent="0.3">
      <c r="A46" s="20">
        <v>34</v>
      </c>
      <c r="B46" s="15"/>
      <c r="C46" s="15"/>
      <c r="D46" s="15"/>
      <c r="E46" s="15"/>
      <c r="F46" s="15"/>
      <c r="G46" s="15"/>
      <c r="H46" s="15"/>
      <c r="I46" s="16"/>
      <c r="J46" s="16"/>
      <c r="K46" s="16"/>
      <c r="L46" s="16"/>
      <c r="M46" s="16"/>
      <c r="N46" s="16"/>
      <c r="O46" s="16"/>
      <c r="P46" s="16"/>
      <c r="Q46" s="16"/>
      <c r="R46" s="17"/>
      <c r="S46" s="17"/>
      <c r="T46" s="17"/>
      <c r="U46" s="17"/>
      <c r="V46" s="17"/>
      <c r="W46" s="17"/>
      <c r="X46" s="17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9"/>
    </row>
    <row r="47" spans="1:37" ht="20.100000000000001" customHeight="1" x14ac:dyDescent="0.3">
      <c r="A47" s="20">
        <v>35</v>
      </c>
      <c r="B47" s="15"/>
      <c r="C47" s="15"/>
      <c r="D47" s="15"/>
      <c r="E47" s="15"/>
      <c r="F47" s="15"/>
      <c r="G47" s="15"/>
      <c r="H47" s="15"/>
      <c r="I47" s="16"/>
      <c r="J47" s="16"/>
      <c r="K47" s="16"/>
      <c r="L47" s="16"/>
      <c r="M47" s="16"/>
      <c r="N47" s="16"/>
      <c r="O47" s="16"/>
      <c r="P47" s="16"/>
      <c r="Q47" s="16"/>
      <c r="R47" s="17"/>
      <c r="S47" s="17"/>
      <c r="T47" s="17"/>
      <c r="U47" s="17"/>
      <c r="V47" s="17"/>
      <c r="W47" s="17"/>
      <c r="X47" s="17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9"/>
    </row>
    <row r="48" spans="1:37" ht="20.100000000000001" customHeight="1" x14ac:dyDescent="0.3">
      <c r="A48" s="20">
        <v>36</v>
      </c>
      <c r="B48" s="15"/>
      <c r="C48" s="15"/>
      <c r="D48" s="15"/>
      <c r="E48" s="15"/>
      <c r="F48" s="15"/>
      <c r="G48" s="15"/>
      <c r="H48" s="15"/>
      <c r="I48" s="16"/>
      <c r="J48" s="16"/>
      <c r="K48" s="16"/>
      <c r="L48" s="16"/>
      <c r="M48" s="16"/>
      <c r="N48" s="16"/>
      <c r="O48" s="16"/>
      <c r="P48" s="16"/>
      <c r="Q48" s="16"/>
      <c r="R48" s="17"/>
      <c r="S48" s="17"/>
      <c r="T48" s="17"/>
      <c r="U48" s="17"/>
      <c r="V48" s="17"/>
      <c r="W48" s="17"/>
      <c r="X48" s="17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</row>
    <row r="49" spans="1:37" ht="20.100000000000001" customHeight="1" x14ac:dyDescent="0.3">
      <c r="A49" s="20">
        <v>37</v>
      </c>
      <c r="B49" s="15"/>
      <c r="C49" s="15"/>
      <c r="D49" s="15"/>
      <c r="E49" s="15"/>
      <c r="F49" s="15"/>
      <c r="G49" s="15"/>
      <c r="H49" s="15"/>
      <c r="I49" s="16"/>
      <c r="J49" s="16"/>
      <c r="K49" s="16"/>
      <c r="L49" s="16"/>
      <c r="M49" s="16"/>
      <c r="N49" s="16"/>
      <c r="O49" s="16"/>
      <c r="P49" s="16"/>
      <c r="Q49" s="16"/>
      <c r="R49" s="17"/>
      <c r="S49" s="17"/>
      <c r="T49" s="17"/>
      <c r="U49" s="17"/>
      <c r="V49" s="17"/>
      <c r="W49" s="17"/>
      <c r="X49" s="17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/>
    </row>
    <row r="50" spans="1:37" ht="20.100000000000001" customHeight="1" x14ac:dyDescent="0.3">
      <c r="A50" s="20">
        <v>38</v>
      </c>
      <c r="B50" s="15"/>
      <c r="C50" s="15"/>
      <c r="D50" s="15"/>
      <c r="E50" s="15"/>
      <c r="F50" s="15"/>
      <c r="G50" s="15"/>
      <c r="H50" s="15"/>
      <c r="I50" s="16"/>
      <c r="J50" s="16"/>
      <c r="K50" s="16"/>
      <c r="L50" s="16"/>
      <c r="M50" s="16"/>
      <c r="N50" s="16"/>
      <c r="O50" s="16"/>
      <c r="P50" s="16"/>
      <c r="Q50" s="16"/>
      <c r="R50" s="17"/>
      <c r="S50" s="17"/>
      <c r="T50" s="17"/>
      <c r="U50" s="17"/>
      <c r="V50" s="17"/>
      <c r="W50" s="17"/>
      <c r="X50" s="17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9"/>
    </row>
    <row r="51" spans="1:37" ht="20.100000000000001" customHeight="1" x14ac:dyDescent="0.3">
      <c r="A51" s="20">
        <v>39</v>
      </c>
      <c r="B51" s="15"/>
      <c r="C51" s="15"/>
      <c r="D51" s="15"/>
      <c r="E51" s="15"/>
      <c r="F51" s="15"/>
      <c r="G51" s="15"/>
      <c r="H51" s="15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s="17"/>
      <c r="T51" s="17"/>
      <c r="U51" s="17"/>
      <c r="V51" s="17"/>
      <c r="W51" s="17"/>
      <c r="X51" s="17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9"/>
    </row>
    <row r="52" spans="1:37" ht="20.100000000000001" customHeight="1" x14ac:dyDescent="0.3">
      <c r="A52" s="20">
        <v>40</v>
      </c>
      <c r="B52" s="15"/>
      <c r="C52" s="15"/>
      <c r="D52" s="15"/>
      <c r="E52" s="15"/>
      <c r="F52" s="15"/>
      <c r="G52" s="15"/>
      <c r="H52" s="15"/>
      <c r="I52" s="16"/>
      <c r="J52" s="16"/>
      <c r="K52" s="16"/>
      <c r="L52" s="16"/>
      <c r="M52" s="16"/>
      <c r="N52" s="16"/>
      <c r="O52" s="16"/>
      <c r="P52" s="16"/>
      <c r="Q52" s="16"/>
      <c r="R52" s="17"/>
      <c r="S52" s="17"/>
      <c r="T52" s="17"/>
      <c r="U52" s="17"/>
      <c r="V52" s="17"/>
      <c r="W52" s="17"/>
      <c r="X52" s="17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9"/>
    </row>
    <row r="53" spans="1:37" ht="20.100000000000001" customHeight="1" x14ac:dyDescent="0.3">
      <c r="A53" s="20">
        <v>41</v>
      </c>
      <c r="B53" s="15"/>
      <c r="C53" s="15"/>
      <c r="D53" s="15"/>
      <c r="E53" s="15"/>
      <c r="F53" s="15"/>
      <c r="G53" s="15"/>
      <c r="H53" s="15"/>
      <c r="I53" s="16"/>
      <c r="J53" s="16"/>
      <c r="K53" s="16"/>
      <c r="L53" s="16"/>
      <c r="M53" s="16"/>
      <c r="N53" s="16"/>
      <c r="O53" s="16"/>
      <c r="P53" s="16"/>
      <c r="Q53" s="16"/>
      <c r="R53" s="17"/>
      <c r="S53" s="17"/>
      <c r="T53" s="17"/>
      <c r="U53" s="17"/>
      <c r="V53" s="17"/>
      <c r="W53" s="17"/>
      <c r="X53" s="17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9"/>
    </row>
    <row r="54" spans="1:37" ht="20.100000000000001" customHeight="1" x14ac:dyDescent="0.3">
      <c r="A54" s="20">
        <v>42</v>
      </c>
      <c r="B54" s="15"/>
      <c r="C54" s="15"/>
      <c r="D54" s="15"/>
      <c r="E54" s="15"/>
      <c r="F54" s="15"/>
      <c r="G54" s="15"/>
      <c r="H54" s="15"/>
      <c r="I54" s="16"/>
      <c r="J54" s="16"/>
      <c r="K54" s="16"/>
      <c r="L54" s="16"/>
      <c r="M54" s="16"/>
      <c r="N54" s="16"/>
      <c r="O54" s="16"/>
      <c r="P54" s="16"/>
      <c r="Q54" s="16"/>
      <c r="R54" s="17"/>
      <c r="S54" s="17"/>
      <c r="T54" s="17"/>
      <c r="U54" s="17"/>
      <c r="V54" s="17"/>
      <c r="W54" s="17"/>
      <c r="X54" s="17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9"/>
    </row>
    <row r="55" spans="1:37" ht="20.100000000000001" customHeight="1" x14ac:dyDescent="0.3">
      <c r="A55" s="20">
        <v>43</v>
      </c>
      <c r="B55" s="15"/>
      <c r="C55" s="15"/>
      <c r="D55" s="15"/>
      <c r="E55" s="15"/>
      <c r="F55" s="15"/>
      <c r="G55" s="15"/>
      <c r="H55" s="15"/>
      <c r="I55" s="16"/>
      <c r="J55" s="16"/>
      <c r="K55" s="16"/>
      <c r="L55" s="16"/>
      <c r="M55" s="16"/>
      <c r="N55" s="16"/>
      <c r="O55" s="16"/>
      <c r="P55" s="16"/>
      <c r="Q55" s="16"/>
      <c r="R55" s="17"/>
      <c r="S55" s="17"/>
      <c r="T55" s="17"/>
      <c r="U55" s="17"/>
      <c r="V55" s="17"/>
      <c r="W55" s="17"/>
      <c r="X55" s="17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9"/>
    </row>
    <row r="56" spans="1:37" ht="20.100000000000001" customHeight="1" x14ac:dyDescent="0.3">
      <c r="A56" s="20">
        <v>44</v>
      </c>
      <c r="B56" s="15"/>
      <c r="C56" s="15"/>
      <c r="D56" s="15"/>
      <c r="E56" s="15"/>
      <c r="F56" s="15"/>
      <c r="G56" s="15"/>
      <c r="H56" s="15"/>
      <c r="I56" s="16"/>
      <c r="J56" s="16"/>
      <c r="K56" s="16"/>
      <c r="L56" s="16"/>
      <c r="M56" s="16"/>
      <c r="N56" s="16"/>
      <c r="O56" s="16"/>
      <c r="P56" s="16"/>
      <c r="Q56" s="16"/>
      <c r="R56" s="17"/>
      <c r="S56" s="17"/>
      <c r="T56" s="17"/>
      <c r="U56" s="17"/>
      <c r="V56" s="17"/>
      <c r="W56" s="17"/>
      <c r="X56" s="17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9"/>
    </row>
    <row r="57" spans="1:37" ht="20.100000000000001" customHeight="1" x14ac:dyDescent="0.3">
      <c r="A57" s="20">
        <v>45</v>
      </c>
      <c r="B57" s="15"/>
      <c r="C57" s="15"/>
      <c r="D57" s="15"/>
      <c r="E57" s="15"/>
      <c r="F57" s="15"/>
      <c r="G57" s="15"/>
      <c r="H57" s="15"/>
      <c r="I57" s="16"/>
      <c r="J57" s="16"/>
      <c r="K57" s="16"/>
      <c r="L57" s="16"/>
      <c r="M57" s="16"/>
      <c r="N57" s="16"/>
      <c r="O57" s="16"/>
      <c r="P57" s="16"/>
      <c r="Q57" s="16"/>
      <c r="R57" s="17"/>
      <c r="S57" s="17"/>
      <c r="T57" s="17"/>
      <c r="U57" s="17"/>
      <c r="V57" s="17"/>
      <c r="W57" s="17"/>
      <c r="X57" s="17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9"/>
    </row>
    <row r="58" spans="1:37" ht="20.100000000000001" customHeight="1" x14ac:dyDescent="0.3">
      <c r="A58" s="20">
        <v>46</v>
      </c>
      <c r="B58" s="15"/>
      <c r="C58" s="15"/>
      <c r="D58" s="15"/>
      <c r="E58" s="15"/>
      <c r="F58" s="15"/>
      <c r="G58" s="15"/>
      <c r="H58" s="15"/>
      <c r="I58" s="16"/>
      <c r="J58" s="16"/>
      <c r="K58" s="16"/>
      <c r="L58" s="16"/>
      <c r="M58" s="16"/>
      <c r="N58" s="16"/>
      <c r="O58" s="16"/>
      <c r="P58" s="16"/>
      <c r="Q58" s="16"/>
      <c r="R58" s="17"/>
      <c r="S58" s="17"/>
      <c r="T58" s="17"/>
      <c r="U58" s="17"/>
      <c r="V58" s="17"/>
      <c r="W58" s="17"/>
      <c r="X58" s="17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9"/>
    </row>
    <row r="59" spans="1:37" ht="20.100000000000001" customHeight="1" x14ac:dyDescent="0.3">
      <c r="A59" s="20">
        <v>47</v>
      </c>
      <c r="B59" s="15"/>
      <c r="C59" s="15"/>
      <c r="D59" s="15"/>
      <c r="E59" s="15"/>
      <c r="F59" s="15"/>
      <c r="G59" s="15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7"/>
      <c r="S59" s="17"/>
      <c r="T59" s="17"/>
      <c r="U59" s="17"/>
      <c r="V59" s="17"/>
      <c r="W59" s="17"/>
      <c r="X59" s="17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9"/>
    </row>
    <row r="60" spans="1:37" ht="20.100000000000001" customHeight="1" x14ac:dyDescent="0.3">
      <c r="A60" s="20">
        <v>48</v>
      </c>
      <c r="B60" s="15"/>
      <c r="C60" s="15"/>
      <c r="D60" s="15"/>
      <c r="E60" s="15"/>
      <c r="F60" s="15"/>
      <c r="G60" s="15"/>
      <c r="H60" s="15"/>
      <c r="I60" s="16"/>
      <c r="J60" s="16"/>
      <c r="K60" s="16"/>
      <c r="L60" s="16"/>
      <c r="M60" s="16"/>
      <c r="N60" s="16"/>
      <c r="O60" s="16"/>
      <c r="P60" s="16"/>
      <c r="Q60" s="16"/>
      <c r="R60" s="17"/>
      <c r="S60" s="17"/>
      <c r="T60" s="17"/>
      <c r="U60" s="17"/>
      <c r="V60" s="17"/>
      <c r="W60" s="17"/>
      <c r="X60" s="17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9"/>
    </row>
    <row r="61" spans="1:37" ht="20.100000000000001" customHeight="1" x14ac:dyDescent="0.3">
      <c r="A61" s="20">
        <v>49</v>
      </c>
      <c r="B61" s="15"/>
      <c r="C61" s="15"/>
      <c r="D61" s="15"/>
      <c r="E61" s="15"/>
      <c r="F61" s="15"/>
      <c r="G61" s="15"/>
      <c r="H61" s="15"/>
      <c r="I61" s="16"/>
      <c r="J61" s="16"/>
      <c r="K61" s="16"/>
      <c r="L61" s="16"/>
      <c r="M61" s="16"/>
      <c r="N61" s="16"/>
      <c r="O61" s="16"/>
      <c r="P61" s="16"/>
      <c r="Q61" s="16"/>
      <c r="R61" s="17"/>
      <c r="S61" s="17"/>
      <c r="T61" s="17"/>
      <c r="U61" s="17"/>
      <c r="V61" s="17"/>
      <c r="W61" s="17"/>
      <c r="X61" s="17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9"/>
    </row>
    <row r="62" spans="1:37" ht="20.100000000000001" customHeight="1" x14ac:dyDescent="0.3">
      <c r="A62" s="20">
        <v>50</v>
      </c>
      <c r="B62" s="15"/>
      <c r="C62" s="15"/>
      <c r="D62" s="15"/>
      <c r="E62" s="15"/>
      <c r="F62" s="15"/>
      <c r="G62" s="15"/>
      <c r="H62" s="15"/>
      <c r="I62" s="16"/>
      <c r="J62" s="16"/>
      <c r="K62" s="16"/>
      <c r="L62" s="16"/>
      <c r="M62" s="16"/>
      <c r="N62" s="16"/>
      <c r="O62" s="16"/>
      <c r="P62" s="16"/>
      <c r="Q62" s="16"/>
      <c r="R62" s="17"/>
      <c r="S62" s="17"/>
      <c r="T62" s="17"/>
      <c r="U62" s="17"/>
      <c r="V62" s="17"/>
      <c r="W62" s="17"/>
      <c r="X62" s="17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9"/>
    </row>
    <row r="63" spans="1:37" ht="20.100000000000001" customHeight="1" x14ac:dyDescent="0.3">
      <c r="A63" s="20">
        <v>51</v>
      </c>
      <c r="B63" s="15"/>
      <c r="C63" s="15"/>
      <c r="D63" s="15"/>
      <c r="E63" s="15"/>
      <c r="F63" s="15"/>
      <c r="G63" s="15"/>
      <c r="H63" s="15"/>
      <c r="I63" s="16"/>
      <c r="J63" s="16"/>
      <c r="K63" s="16"/>
      <c r="L63" s="16"/>
      <c r="M63" s="16"/>
      <c r="N63" s="16"/>
      <c r="O63" s="16"/>
      <c r="P63" s="16"/>
      <c r="Q63" s="16"/>
      <c r="R63" s="17"/>
      <c r="S63" s="17"/>
      <c r="T63" s="17"/>
      <c r="U63" s="17"/>
      <c r="V63" s="17"/>
      <c r="W63" s="17"/>
      <c r="X63" s="17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9"/>
    </row>
    <row r="64" spans="1:37" ht="20.100000000000001" customHeight="1" x14ac:dyDescent="0.3">
      <c r="A64" s="20">
        <v>52</v>
      </c>
      <c r="B64" s="15"/>
      <c r="C64" s="15"/>
      <c r="D64" s="15"/>
      <c r="E64" s="15"/>
      <c r="F64" s="15"/>
      <c r="G64" s="15"/>
      <c r="H64" s="15"/>
      <c r="I64" s="16"/>
      <c r="J64" s="16"/>
      <c r="K64" s="16"/>
      <c r="L64" s="16"/>
      <c r="M64" s="16"/>
      <c r="N64" s="16"/>
      <c r="O64" s="16"/>
      <c r="P64" s="16"/>
      <c r="Q64" s="16"/>
      <c r="R64" s="17"/>
      <c r="S64" s="17"/>
      <c r="T64" s="17"/>
      <c r="U64" s="17"/>
      <c r="V64" s="17"/>
      <c r="W64" s="17"/>
      <c r="X64" s="17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9"/>
    </row>
    <row r="65" spans="1:37" ht="20.100000000000001" customHeight="1" x14ac:dyDescent="0.3">
      <c r="A65" s="20">
        <v>53</v>
      </c>
      <c r="B65" s="15"/>
      <c r="C65" s="15"/>
      <c r="D65" s="15"/>
      <c r="E65" s="15"/>
      <c r="F65" s="15"/>
      <c r="G65" s="15"/>
      <c r="H65" s="15"/>
      <c r="I65" s="16"/>
      <c r="J65" s="16"/>
      <c r="K65" s="16"/>
      <c r="L65" s="16"/>
      <c r="M65" s="16"/>
      <c r="N65" s="16"/>
      <c r="O65" s="16"/>
      <c r="P65" s="16"/>
      <c r="Q65" s="16"/>
      <c r="R65" s="17"/>
      <c r="S65" s="17"/>
      <c r="T65" s="17"/>
      <c r="U65" s="17"/>
      <c r="V65" s="17"/>
      <c r="W65" s="17"/>
      <c r="X65" s="17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9"/>
    </row>
    <row r="66" spans="1:37" ht="20.100000000000001" customHeight="1" x14ac:dyDescent="0.3">
      <c r="A66" s="20">
        <v>54</v>
      </c>
      <c r="B66" s="15"/>
      <c r="C66" s="15"/>
      <c r="D66" s="15"/>
      <c r="E66" s="15"/>
      <c r="F66" s="15"/>
      <c r="G66" s="15"/>
      <c r="H66" s="15"/>
      <c r="I66" s="16"/>
      <c r="J66" s="16"/>
      <c r="K66" s="16"/>
      <c r="L66" s="16"/>
      <c r="M66" s="16"/>
      <c r="N66" s="16"/>
      <c r="O66" s="16"/>
      <c r="P66" s="16"/>
      <c r="Q66" s="16"/>
      <c r="R66" s="17"/>
      <c r="S66" s="17"/>
      <c r="T66" s="17"/>
      <c r="U66" s="17"/>
      <c r="V66" s="17"/>
      <c r="W66" s="17"/>
      <c r="X66" s="17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9"/>
    </row>
    <row r="67" spans="1:37" ht="20.100000000000001" customHeight="1" x14ac:dyDescent="0.3">
      <c r="A67" s="20">
        <v>55</v>
      </c>
      <c r="B67" s="15"/>
      <c r="C67" s="15"/>
      <c r="D67" s="15"/>
      <c r="E67" s="15"/>
      <c r="F67" s="15"/>
      <c r="G67" s="15"/>
      <c r="H67" s="15"/>
      <c r="I67" s="16"/>
      <c r="J67" s="16"/>
      <c r="K67" s="16"/>
      <c r="L67" s="16"/>
      <c r="M67" s="16"/>
      <c r="N67" s="16"/>
      <c r="O67" s="16"/>
      <c r="P67" s="16"/>
      <c r="Q67" s="16"/>
      <c r="R67" s="17"/>
      <c r="S67" s="17"/>
      <c r="T67" s="17"/>
      <c r="U67" s="17"/>
      <c r="V67" s="17"/>
      <c r="W67" s="17"/>
      <c r="X67" s="17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9"/>
    </row>
    <row r="68" spans="1:37" ht="20.100000000000001" customHeight="1" x14ac:dyDescent="0.3">
      <c r="A68" s="20">
        <v>56</v>
      </c>
      <c r="B68" s="15"/>
      <c r="C68" s="15"/>
      <c r="D68" s="15"/>
      <c r="E68" s="15"/>
      <c r="F68" s="15"/>
      <c r="G68" s="15"/>
      <c r="H68" s="15"/>
      <c r="I68" s="16"/>
      <c r="J68" s="16"/>
      <c r="K68" s="16"/>
      <c r="L68" s="16"/>
      <c r="M68" s="16"/>
      <c r="N68" s="16"/>
      <c r="O68" s="16"/>
      <c r="P68" s="16"/>
      <c r="Q68" s="16"/>
      <c r="R68" s="17"/>
      <c r="S68" s="17"/>
      <c r="T68" s="17"/>
      <c r="U68" s="17"/>
      <c r="V68" s="17"/>
      <c r="W68" s="17"/>
      <c r="X68" s="17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9"/>
    </row>
    <row r="69" spans="1:37" ht="20.100000000000001" customHeight="1" x14ac:dyDescent="0.3">
      <c r="A69" s="20">
        <v>57</v>
      </c>
      <c r="B69" s="15"/>
      <c r="C69" s="15"/>
      <c r="D69" s="15"/>
      <c r="E69" s="15"/>
      <c r="F69" s="15"/>
      <c r="G69" s="15"/>
      <c r="H69" s="15"/>
      <c r="I69" s="16"/>
      <c r="J69" s="16"/>
      <c r="K69" s="16"/>
      <c r="L69" s="16"/>
      <c r="M69" s="16"/>
      <c r="N69" s="16"/>
      <c r="O69" s="16"/>
      <c r="P69" s="16"/>
      <c r="Q69" s="16"/>
      <c r="R69" s="17"/>
      <c r="S69" s="17"/>
      <c r="T69" s="17"/>
      <c r="U69" s="17"/>
      <c r="V69" s="17"/>
      <c r="W69" s="17"/>
      <c r="X69" s="17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9"/>
    </row>
    <row r="70" spans="1:37" ht="20.100000000000001" customHeight="1" x14ac:dyDescent="0.3">
      <c r="A70" s="20">
        <v>58</v>
      </c>
      <c r="B70" s="15"/>
      <c r="C70" s="15"/>
      <c r="D70" s="15"/>
      <c r="E70" s="15"/>
      <c r="F70" s="15"/>
      <c r="G70" s="15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17"/>
      <c r="S70" s="17"/>
      <c r="T70" s="17"/>
      <c r="U70" s="17"/>
      <c r="V70" s="17"/>
      <c r="W70" s="17"/>
      <c r="X70" s="17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9"/>
    </row>
    <row r="71" spans="1:37" ht="20.100000000000001" customHeight="1" x14ac:dyDescent="0.3">
      <c r="A71" s="20">
        <v>59</v>
      </c>
      <c r="B71" s="15"/>
      <c r="C71" s="15"/>
      <c r="D71" s="15"/>
      <c r="E71" s="15"/>
      <c r="F71" s="15"/>
      <c r="G71" s="15"/>
      <c r="H71" s="15"/>
      <c r="I71" s="16"/>
      <c r="J71" s="16"/>
      <c r="K71" s="16"/>
      <c r="L71" s="16"/>
      <c r="M71" s="16"/>
      <c r="N71" s="16"/>
      <c r="O71" s="16"/>
      <c r="P71" s="16"/>
      <c r="Q71" s="16"/>
      <c r="R71" s="17"/>
      <c r="S71" s="17"/>
      <c r="T71" s="17"/>
      <c r="U71" s="17"/>
      <c r="V71" s="17"/>
      <c r="W71" s="17"/>
      <c r="X71" s="17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9"/>
    </row>
    <row r="72" spans="1:37" ht="20.100000000000001" customHeight="1" x14ac:dyDescent="0.3">
      <c r="A72" s="20">
        <v>60</v>
      </c>
      <c r="B72" s="15"/>
      <c r="C72" s="15"/>
      <c r="D72" s="15"/>
      <c r="E72" s="15"/>
      <c r="F72" s="15"/>
      <c r="G72" s="15"/>
      <c r="H72" s="15"/>
      <c r="I72" s="16"/>
      <c r="J72" s="16"/>
      <c r="K72" s="16"/>
      <c r="L72" s="16"/>
      <c r="M72" s="16"/>
      <c r="N72" s="16"/>
      <c r="O72" s="16"/>
      <c r="P72" s="16"/>
      <c r="Q72" s="16"/>
      <c r="R72" s="17"/>
      <c r="S72" s="17"/>
      <c r="T72" s="17"/>
      <c r="U72" s="17"/>
      <c r="V72" s="17"/>
      <c r="W72" s="17"/>
      <c r="X72" s="17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9"/>
    </row>
    <row r="73" spans="1:37" ht="20.100000000000001" customHeight="1" x14ac:dyDescent="0.3">
      <c r="A73" s="20">
        <v>61</v>
      </c>
      <c r="B73" s="15"/>
      <c r="C73" s="15"/>
      <c r="D73" s="15"/>
      <c r="E73" s="15"/>
      <c r="F73" s="15"/>
      <c r="G73" s="15"/>
      <c r="H73" s="15"/>
      <c r="I73" s="16"/>
      <c r="J73" s="16"/>
      <c r="K73" s="16"/>
      <c r="L73" s="16"/>
      <c r="M73" s="16"/>
      <c r="N73" s="16"/>
      <c r="O73" s="16"/>
      <c r="P73" s="16"/>
      <c r="Q73" s="16"/>
      <c r="R73" s="17"/>
      <c r="S73" s="17"/>
      <c r="T73" s="17"/>
      <c r="U73" s="17"/>
      <c r="V73" s="17"/>
      <c r="W73" s="17"/>
      <c r="X73" s="17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9"/>
    </row>
    <row r="74" spans="1:37" ht="20.100000000000001" customHeight="1" x14ac:dyDescent="0.3">
      <c r="A74" s="20">
        <v>62</v>
      </c>
      <c r="B74" s="15"/>
      <c r="C74" s="15"/>
      <c r="D74" s="15"/>
      <c r="E74" s="15"/>
      <c r="F74" s="15"/>
      <c r="G74" s="15"/>
      <c r="H74" s="15"/>
      <c r="I74" s="16"/>
      <c r="J74" s="16"/>
      <c r="K74" s="16"/>
      <c r="L74" s="16"/>
      <c r="M74" s="16"/>
      <c r="N74" s="16"/>
      <c r="O74" s="16"/>
      <c r="P74" s="16"/>
      <c r="Q74" s="16"/>
      <c r="R74" s="17"/>
      <c r="S74" s="17"/>
      <c r="T74" s="17"/>
      <c r="U74" s="17"/>
      <c r="V74" s="17"/>
      <c r="W74" s="17"/>
      <c r="X74" s="17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9"/>
    </row>
    <row r="75" spans="1:37" ht="20.100000000000001" customHeight="1" x14ac:dyDescent="0.3">
      <c r="A75" s="20">
        <v>63</v>
      </c>
      <c r="B75" s="15"/>
      <c r="C75" s="15"/>
      <c r="D75" s="15"/>
      <c r="E75" s="15"/>
      <c r="F75" s="15"/>
      <c r="G75" s="15"/>
      <c r="H75" s="15"/>
      <c r="I75" s="16"/>
      <c r="J75" s="16"/>
      <c r="K75" s="16"/>
      <c r="L75" s="16"/>
      <c r="M75" s="16"/>
      <c r="N75" s="16"/>
      <c r="O75" s="16"/>
      <c r="P75" s="16"/>
      <c r="Q75" s="16"/>
      <c r="R75" s="17"/>
      <c r="S75" s="17"/>
      <c r="T75" s="17"/>
      <c r="U75" s="17"/>
      <c r="V75" s="17"/>
      <c r="W75" s="17"/>
      <c r="X75" s="17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9"/>
    </row>
    <row r="76" spans="1:37" ht="20.100000000000001" customHeight="1" x14ac:dyDescent="0.3">
      <c r="A76" s="20">
        <v>64</v>
      </c>
      <c r="B76" s="15"/>
      <c r="C76" s="15"/>
      <c r="D76" s="15"/>
      <c r="E76" s="15"/>
      <c r="F76" s="15"/>
      <c r="G76" s="15"/>
      <c r="H76" s="15"/>
      <c r="I76" s="16"/>
      <c r="J76" s="16"/>
      <c r="K76" s="16"/>
      <c r="L76" s="16"/>
      <c r="M76" s="16"/>
      <c r="N76" s="16"/>
      <c r="O76" s="16"/>
      <c r="P76" s="16"/>
      <c r="Q76" s="16"/>
      <c r="R76" s="17"/>
      <c r="S76" s="17"/>
      <c r="T76" s="17"/>
      <c r="U76" s="17"/>
      <c r="V76" s="17"/>
      <c r="W76" s="17"/>
      <c r="X76" s="17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9"/>
    </row>
    <row r="77" spans="1:37" ht="20.100000000000001" customHeight="1" x14ac:dyDescent="0.3">
      <c r="A77" s="20">
        <v>65</v>
      </c>
      <c r="B77" s="15"/>
      <c r="C77" s="15"/>
      <c r="D77" s="15"/>
      <c r="E77" s="15"/>
      <c r="F77" s="15"/>
      <c r="G77" s="15"/>
      <c r="H77" s="15"/>
      <c r="I77" s="16"/>
      <c r="J77" s="16"/>
      <c r="K77" s="16"/>
      <c r="L77" s="16"/>
      <c r="M77" s="16"/>
      <c r="N77" s="16"/>
      <c r="O77" s="16"/>
      <c r="P77" s="16"/>
      <c r="Q77" s="16"/>
      <c r="R77" s="17"/>
      <c r="S77" s="17"/>
      <c r="T77" s="17"/>
      <c r="U77" s="17"/>
      <c r="V77" s="17"/>
      <c r="W77" s="17"/>
      <c r="X77" s="17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9"/>
    </row>
    <row r="78" spans="1:37" ht="20.100000000000001" customHeight="1" x14ac:dyDescent="0.3">
      <c r="A78" s="20">
        <v>66</v>
      </c>
      <c r="B78" s="15"/>
      <c r="C78" s="15"/>
      <c r="D78" s="15"/>
      <c r="E78" s="15"/>
      <c r="F78" s="15"/>
      <c r="G78" s="15"/>
      <c r="H78" s="15"/>
      <c r="I78" s="16"/>
      <c r="J78" s="16"/>
      <c r="K78" s="16"/>
      <c r="L78" s="16"/>
      <c r="M78" s="16"/>
      <c r="N78" s="16"/>
      <c r="O78" s="16"/>
      <c r="P78" s="16"/>
      <c r="Q78" s="16"/>
      <c r="R78" s="17"/>
      <c r="S78" s="17"/>
      <c r="T78" s="17"/>
      <c r="U78" s="17"/>
      <c r="V78" s="17"/>
      <c r="W78" s="17"/>
      <c r="X78" s="17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9"/>
    </row>
    <row r="79" spans="1:37" ht="20.100000000000001" customHeight="1" x14ac:dyDescent="0.3">
      <c r="A79" s="20">
        <v>67</v>
      </c>
      <c r="B79" s="15"/>
      <c r="C79" s="15"/>
      <c r="D79" s="15"/>
      <c r="E79" s="15"/>
      <c r="F79" s="15"/>
      <c r="G79" s="15"/>
      <c r="H79" s="15"/>
      <c r="I79" s="16"/>
      <c r="J79" s="16"/>
      <c r="K79" s="16"/>
      <c r="L79" s="16"/>
      <c r="M79" s="16"/>
      <c r="N79" s="16"/>
      <c r="O79" s="16"/>
      <c r="P79" s="16"/>
      <c r="Q79" s="16"/>
      <c r="R79" s="17"/>
      <c r="S79" s="17"/>
      <c r="T79" s="17"/>
      <c r="U79" s="17"/>
      <c r="V79" s="17"/>
      <c r="W79" s="17"/>
      <c r="X79" s="17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9"/>
    </row>
    <row r="80" spans="1:37" ht="20.100000000000001" customHeight="1" x14ac:dyDescent="0.3">
      <c r="A80" s="20">
        <v>68</v>
      </c>
      <c r="B80" s="15"/>
      <c r="C80" s="15"/>
      <c r="D80" s="15"/>
      <c r="E80" s="15"/>
      <c r="F80" s="15"/>
      <c r="G80" s="15"/>
      <c r="H80" s="15"/>
      <c r="I80" s="16"/>
      <c r="J80" s="16"/>
      <c r="K80" s="16"/>
      <c r="L80" s="16"/>
      <c r="M80" s="16"/>
      <c r="N80" s="16"/>
      <c r="O80" s="16"/>
      <c r="P80" s="16"/>
      <c r="Q80" s="16"/>
      <c r="R80" s="17"/>
      <c r="S80" s="17"/>
      <c r="T80" s="17"/>
      <c r="U80" s="17"/>
      <c r="V80" s="17"/>
      <c r="W80" s="17"/>
      <c r="X80" s="17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9"/>
    </row>
    <row r="81" spans="1:37" ht="20.100000000000001" customHeight="1" x14ac:dyDescent="0.3">
      <c r="A81" s="20">
        <v>69</v>
      </c>
      <c r="B81" s="15"/>
      <c r="C81" s="15"/>
      <c r="D81" s="15"/>
      <c r="E81" s="15"/>
      <c r="F81" s="15"/>
      <c r="G81" s="15"/>
      <c r="H81" s="15"/>
      <c r="I81" s="16"/>
      <c r="J81" s="16"/>
      <c r="K81" s="16"/>
      <c r="L81" s="16"/>
      <c r="M81" s="16"/>
      <c r="N81" s="16"/>
      <c r="O81" s="16"/>
      <c r="P81" s="16"/>
      <c r="Q81" s="16"/>
      <c r="R81" s="17"/>
      <c r="S81" s="17"/>
      <c r="T81" s="17"/>
      <c r="U81" s="17"/>
      <c r="V81" s="17"/>
      <c r="W81" s="17"/>
      <c r="X81" s="17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9"/>
    </row>
    <row r="82" spans="1:37" ht="20.100000000000001" customHeight="1" x14ac:dyDescent="0.3">
      <c r="A82" s="20">
        <v>70</v>
      </c>
      <c r="B82" s="15"/>
      <c r="C82" s="15"/>
      <c r="D82" s="15"/>
      <c r="E82" s="15"/>
      <c r="F82" s="15"/>
      <c r="G82" s="15"/>
      <c r="H82" s="15"/>
      <c r="I82" s="16"/>
      <c r="J82" s="16"/>
      <c r="K82" s="16"/>
      <c r="L82" s="16"/>
      <c r="M82" s="16"/>
      <c r="N82" s="16"/>
      <c r="O82" s="16"/>
      <c r="P82" s="16"/>
      <c r="Q82" s="16"/>
      <c r="R82" s="17"/>
      <c r="S82" s="17"/>
      <c r="T82" s="17"/>
      <c r="U82" s="17"/>
      <c r="V82" s="17"/>
      <c r="W82" s="17"/>
      <c r="X82" s="17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9"/>
    </row>
    <row r="83" spans="1:37" ht="20.100000000000001" customHeight="1" x14ac:dyDescent="0.3">
      <c r="A83" s="20">
        <v>71</v>
      </c>
      <c r="B83" s="15"/>
      <c r="C83" s="15"/>
      <c r="D83" s="15"/>
      <c r="E83" s="15"/>
      <c r="F83" s="15"/>
      <c r="G83" s="15"/>
      <c r="H83" s="15"/>
      <c r="I83" s="16"/>
      <c r="J83" s="16"/>
      <c r="K83" s="16"/>
      <c r="L83" s="16"/>
      <c r="M83" s="16"/>
      <c r="N83" s="16"/>
      <c r="O83" s="16"/>
      <c r="P83" s="16"/>
      <c r="Q83" s="16"/>
      <c r="R83" s="17"/>
      <c r="S83" s="17"/>
      <c r="T83" s="17"/>
      <c r="U83" s="17"/>
      <c r="V83" s="17"/>
      <c r="W83" s="17"/>
      <c r="X83" s="17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9"/>
    </row>
    <row r="84" spans="1:37" ht="20.100000000000001" customHeight="1" x14ac:dyDescent="0.3">
      <c r="A84" s="20">
        <v>72</v>
      </c>
      <c r="B84" s="15"/>
      <c r="C84" s="15"/>
      <c r="D84" s="15"/>
      <c r="E84" s="15"/>
      <c r="F84" s="15"/>
      <c r="G84" s="15"/>
      <c r="H84" s="15"/>
      <c r="I84" s="16"/>
      <c r="J84" s="16"/>
      <c r="K84" s="16"/>
      <c r="L84" s="16"/>
      <c r="M84" s="16"/>
      <c r="N84" s="16"/>
      <c r="O84" s="16"/>
      <c r="P84" s="16"/>
      <c r="Q84" s="16"/>
      <c r="R84" s="17"/>
      <c r="S84" s="17"/>
      <c r="T84" s="17"/>
      <c r="U84" s="17"/>
      <c r="V84" s="17"/>
      <c r="W84" s="17"/>
      <c r="X84" s="17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9"/>
    </row>
    <row r="85" spans="1:37" ht="20.100000000000001" customHeight="1" x14ac:dyDescent="0.3">
      <c r="A85" s="20">
        <v>73</v>
      </c>
      <c r="B85" s="15"/>
      <c r="C85" s="15"/>
      <c r="D85" s="15"/>
      <c r="E85" s="15"/>
      <c r="F85" s="15"/>
      <c r="G85" s="15"/>
      <c r="H85" s="15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17"/>
      <c r="T85" s="17"/>
      <c r="U85" s="17"/>
      <c r="V85" s="17"/>
      <c r="W85" s="17"/>
      <c r="X85" s="17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9"/>
    </row>
    <row r="86" spans="1:37" ht="20.100000000000001" customHeight="1" x14ac:dyDescent="0.3">
      <c r="A86" s="20">
        <v>74</v>
      </c>
      <c r="B86" s="15"/>
      <c r="C86" s="15"/>
      <c r="D86" s="15"/>
      <c r="E86" s="15"/>
      <c r="F86" s="15"/>
      <c r="G86" s="15"/>
      <c r="H86" s="15"/>
      <c r="I86" s="16"/>
      <c r="J86" s="16"/>
      <c r="K86" s="16"/>
      <c r="L86" s="16"/>
      <c r="M86" s="16"/>
      <c r="N86" s="16"/>
      <c r="O86" s="16"/>
      <c r="P86" s="16"/>
      <c r="Q86" s="16"/>
      <c r="R86" s="17"/>
      <c r="S86" s="17"/>
      <c r="T86" s="17"/>
      <c r="U86" s="17"/>
      <c r="V86" s="17"/>
      <c r="W86" s="17"/>
      <c r="X86" s="17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9"/>
    </row>
    <row r="87" spans="1:37" ht="20.100000000000001" customHeight="1" x14ac:dyDescent="0.3">
      <c r="A87" s="20">
        <v>75</v>
      </c>
      <c r="B87" s="15"/>
      <c r="C87" s="15"/>
      <c r="D87" s="15"/>
      <c r="E87" s="15"/>
      <c r="F87" s="15"/>
      <c r="G87" s="15"/>
      <c r="H87" s="15"/>
      <c r="I87" s="16"/>
      <c r="J87" s="16"/>
      <c r="K87" s="16"/>
      <c r="L87" s="16"/>
      <c r="M87" s="16"/>
      <c r="N87" s="16"/>
      <c r="O87" s="16"/>
      <c r="P87" s="16"/>
      <c r="Q87" s="16"/>
      <c r="R87" s="17"/>
      <c r="S87" s="17"/>
      <c r="T87" s="17"/>
      <c r="U87" s="17"/>
      <c r="V87" s="17"/>
      <c r="W87" s="17"/>
      <c r="X87" s="17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9"/>
    </row>
    <row r="88" spans="1:37" ht="20.100000000000001" customHeight="1" x14ac:dyDescent="0.3">
      <c r="A88" s="20">
        <v>76</v>
      </c>
      <c r="B88" s="15"/>
      <c r="C88" s="15"/>
      <c r="D88" s="15"/>
      <c r="E88" s="15"/>
      <c r="F88" s="15"/>
      <c r="G88" s="15"/>
      <c r="H88" s="15"/>
      <c r="I88" s="16"/>
      <c r="J88" s="16"/>
      <c r="K88" s="16"/>
      <c r="L88" s="16"/>
      <c r="M88" s="16"/>
      <c r="N88" s="16"/>
      <c r="O88" s="16"/>
      <c r="P88" s="16"/>
      <c r="Q88" s="16"/>
      <c r="R88" s="17"/>
      <c r="S88" s="17"/>
      <c r="T88" s="17"/>
      <c r="U88" s="17"/>
      <c r="V88" s="17"/>
      <c r="W88" s="17"/>
      <c r="X88" s="17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9"/>
    </row>
    <row r="89" spans="1:37" ht="20.100000000000001" customHeight="1" x14ac:dyDescent="0.3">
      <c r="A89" s="20">
        <v>77</v>
      </c>
      <c r="B89" s="15"/>
      <c r="C89" s="15"/>
      <c r="D89" s="15"/>
      <c r="E89" s="15"/>
      <c r="F89" s="15"/>
      <c r="G89" s="15"/>
      <c r="H89" s="15"/>
      <c r="I89" s="16"/>
      <c r="J89" s="16"/>
      <c r="K89" s="16"/>
      <c r="L89" s="16"/>
      <c r="M89" s="16"/>
      <c r="N89" s="16"/>
      <c r="O89" s="16"/>
      <c r="P89" s="16"/>
      <c r="Q89" s="16"/>
      <c r="R89" s="17"/>
      <c r="S89" s="17"/>
      <c r="T89" s="17"/>
      <c r="U89" s="17"/>
      <c r="V89" s="17"/>
      <c r="W89" s="17"/>
      <c r="X89" s="17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9"/>
    </row>
    <row r="90" spans="1:37" ht="20.100000000000001" customHeight="1" x14ac:dyDescent="0.3">
      <c r="A90" s="20">
        <v>78</v>
      </c>
      <c r="B90" s="15"/>
      <c r="C90" s="15"/>
      <c r="D90" s="15"/>
      <c r="E90" s="15"/>
      <c r="F90" s="15"/>
      <c r="G90" s="15"/>
      <c r="H90" s="15"/>
      <c r="I90" s="16"/>
      <c r="J90" s="16"/>
      <c r="K90" s="16"/>
      <c r="L90" s="16"/>
      <c r="M90" s="16"/>
      <c r="N90" s="16"/>
      <c r="O90" s="16"/>
      <c r="P90" s="16"/>
      <c r="Q90" s="16"/>
      <c r="R90" s="17"/>
      <c r="S90" s="17"/>
      <c r="T90" s="17"/>
      <c r="U90" s="17"/>
      <c r="V90" s="17"/>
      <c r="W90" s="17"/>
      <c r="X90" s="17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9"/>
    </row>
    <row r="91" spans="1:37" ht="20.100000000000001" customHeight="1" x14ac:dyDescent="0.3">
      <c r="A91" s="20">
        <v>79</v>
      </c>
      <c r="B91" s="15"/>
      <c r="C91" s="15"/>
      <c r="D91" s="15"/>
      <c r="E91" s="15"/>
      <c r="F91" s="15"/>
      <c r="G91" s="15"/>
      <c r="H91" s="15"/>
      <c r="I91" s="16"/>
      <c r="J91" s="16"/>
      <c r="K91" s="16"/>
      <c r="L91" s="16"/>
      <c r="M91" s="16"/>
      <c r="N91" s="16"/>
      <c r="O91" s="16"/>
      <c r="P91" s="16"/>
      <c r="Q91" s="16"/>
      <c r="R91" s="17"/>
      <c r="S91" s="17"/>
      <c r="T91" s="17"/>
      <c r="U91" s="17"/>
      <c r="V91" s="17"/>
      <c r="W91" s="17"/>
      <c r="X91" s="17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9"/>
    </row>
    <row r="92" spans="1:37" ht="20.100000000000001" customHeight="1" x14ac:dyDescent="0.3">
      <c r="A92" s="20">
        <v>80</v>
      </c>
      <c r="B92" s="15"/>
      <c r="C92" s="15"/>
      <c r="D92" s="15"/>
      <c r="E92" s="15"/>
      <c r="F92" s="15"/>
      <c r="G92" s="15"/>
      <c r="H92" s="15"/>
      <c r="I92" s="16"/>
      <c r="J92" s="16"/>
      <c r="K92" s="16"/>
      <c r="L92" s="16"/>
      <c r="M92" s="16"/>
      <c r="N92" s="16"/>
      <c r="O92" s="16"/>
      <c r="P92" s="16"/>
      <c r="Q92" s="16"/>
      <c r="R92" s="17"/>
      <c r="S92" s="17"/>
      <c r="T92" s="17"/>
      <c r="U92" s="17"/>
      <c r="V92" s="17"/>
      <c r="W92" s="17"/>
      <c r="X92" s="17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9"/>
    </row>
    <row r="93" spans="1:37" ht="20.100000000000001" customHeight="1" x14ac:dyDescent="0.3">
      <c r="A93" s="20">
        <v>81</v>
      </c>
      <c r="B93" s="15"/>
      <c r="C93" s="15"/>
      <c r="D93" s="15"/>
      <c r="E93" s="15"/>
      <c r="F93" s="15"/>
      <c r="G93" s="15"/>
      <c r="H93" s="15"/>
      <c r="I93" s="16"/>
      <c r="J93" s="16"/>
      <c r="K93" s="16"/>
      <c r="L93" s="16"/>
      <c r="M93" s="16"/>
      <c r="N93" s="16"/>
      <c r="O93" s="16"/>
      <c r="P93" s="16"/>
      <c r="Q93" s="16"/>
      <c r="R93" s="17"/>
      <c r="S93" s="17"/>
      <c r="T93" s="17"/>
      <c r="U93" s="17"/>
      <c r="V93" s="17"/>
      <c r="W93" s="17"/>
      <c r="X93" s="17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9"/>
    </row>
    <row r="94" spans="1:37" ht="20.100000000000001" customHeight="1" x14ac:dyDescent="0.3">
      <c r="A94" s="20">
        <v>82</v>
      </c>
      <c r="B94" s="15"/>
      <c r="C94" s="15"/>
      <c r="D94" s="15"/>
      <c r="E94" s="15"/>
      <c r="F94" s="15"/>
      <c r="G94" s="15"/>
      <c r="H94" s="15"/>
      <c r="I94" s="16"/>
      <c r="J94" s="16"/>
      <c r="K94" s="16"/>
      <c r="L94" s="16"/>
      <c r="M94" s="16"/>
      <c r="N94" s="16"/>
      <c r="O94" s="16"/>
      <c r="P94" s="16"/>
      <c r="Q94" s="16"/>
      <c r="R94" s="17"/>
      <c r="S94" s="17"/>
      <c r="T94" s="17"/>
      <c r="U94" s="17"/>
      <c r="V94" s="17"/>
      <c r="W94" s="17"/>
      <c r="X94" s="17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9"/>
    </row>
    <row r="95" spans="1:37" ht="20.100000000000001" customHeight="1" x14ac:dyDescent="0.3">
      <c r="A95" s="20">
        <v>83</v>
      </c>
      <c r="B95" s="15"/>
      <c r="C95" s="15"/>
      <c r="D95" s="15"/>
      <c r="E95" s="15"/>
      <c r="F95" s="15"/>
      <c r="G95" s="15"/>
      <c r="H95" s="15"/>
      <c r="I95" s="16"/>
      <c r="J95" s="16"/>
      <c r="K95" s="16"/>
      <c r="L95" s="16"/>
      <c r="M95" s="16"/>
      <c r="N95" s="16"/>
      <c r="O95" s="16"/>
      <c r="P95" s="16"/>
      <c r="Q95" s="16"/>
      <c r="R95" s="17"/>
      <c r="S95" s="17"/>
      <c r="T95" s="17"/>
      <c r="U95" s="17"/>
      <c r="V95" s="17"/>
      <c r="W95" s="17"/>
      <c r="X95" s="17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9"/>
    </row>
    <row r="96" spans="1:37" ht="20.100000000000001" customHeight="1" x14ac:dyDescent="0.3">
      <c r="A96" s="20">
        <v>84</v>
      </c>
      <c r="B96" s="15"/>
      <c r="C96" s="15"/>
      <c r="D96" s="15"/>
      <c r="E96" s="15"/>
      <c r="F96" s="15"/>
      <c r="G96" s="15"/>
      <c r="H96" s="15"/>
      <c r="I96" s="16"/>
      <c r="J96" s="16"/>
      <c r="K96" s="16"/>
      <c r="L96" s="16"/>
      <c r="M96" s="16"/>
      <c r="N96" s="16"/>
      <c r="O96" s="16"/>
      <c r="P96" s="16"/>
      <c r="Q96" s="16"/>
      <c r="R96" s="17"/>
      <c r="S96" s="17"/>
      <c r="T96" s="17"/>
      <c r="U96" s="17"/>
      <c r="V96" s="17"/>
      <c r="W96" s="17"/>
      <c r="X96" s="17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9"/>
    </row>
    <row r="97" spans="1:37" ht="20.100000000000001" customHeight="1" x14ac:dyDescent="0.3">
      <c r="A97" s="20">
        <v>85</v>
      </c>
      <c r="B97" s="15"/>
      <c r="C97" s="15"/>
      <c r="D97" s="15"/>
      <c r="E97" s="15"/>
      <c r="F97" s="15"/>
      <c r="G97" s="15"/>
      <c r="H97" s="15"/>
      <c r="I97" s="16"/>
      <c r="J97" s="16"/>
      <c r="K97" s="16"/>
      <c r="L97" s="16"/>
      <c r="M97" s="16"/>
      <c r="N97" s="16"/>
      <c r="O97" s="16"/>
      <c r="P97" s="16"/>
      <c r="Q97" s="16"/>
      <c r="R97" s="17"/>
      <c r="S97" s="17"/>
      <c r="T97" s="17"/>
      <c r="U97" s="17"/>
      <c r="V97" s="17"/>
      <c r="W97" s="17"/>
      <c r="X97" s="17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9"/>
    </row>
    <row r="98" spans="1:37" ht="20.100000000000001" customHeight="1" x14ac:dyDescent="0.3">
      <c r="A98" s="20">
        <v>86</v>
      </c>
      <c r="B98" s="15"/>
      <c r="C98" s="15"/>
      <c r="D98" s="15"/>
      <c r="E98" s="15"/>
      <c r="F98" s="15"/>
      <c r="G98" s="15"/>
      <c r="H98" s="15"/>
      <c r="I98" s="16"/>
      <c r="J98" s="16"/>
      <c r="K98" s="16"/>
      <c r="L98" s="16"/>
      <c r="M98" s="16"/>
      <c r="N98" s="16"/>
      <c r="O98" s="16"/>
      <c r="P98" s="16"/>
      <c r="Q98" s="16"/>
      <c r="R98" s="17"/>
      <c r="S98" s="17"/>
      <c r="T98" s="17"/>
      <c r="U98" s="17"/>
      <c r="V98" s="17"/>
      <c r="W98" s="17"/>
      <c r="X98" s="17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9"/>
    </row>
    <row r="99" spans="1:37" ht="20.100000000000001" customHeight="1" x14ac:dyDescent="0.3">
      <c r="A99" s="20">
        <v>87</v>
      </c>
      <c r="B99" s="15"/>
      <c r="C99" s="15"/>
      <c r="D99" s="15"/>
      <c r="E99" s="15"/>
      <c r="F99" s="15"/>
      <c r="G99" s="15"/>
      <c r="H99" s="15"/>
      <c r="I99" s="16"/>
      <c r="J99" s="16"/>
      <c r="K99" s="16"/>
      <c r="L99" s="16"/>
      <c r="M99" s="16"/>
      <c r="N99" s="16"/>
      <c r="O99" s="16"/>
      <c r="P99" s="16"/>
      <c r="Q99" s="16"/>
      <c r="R99" s="17"/>
      <c r="S99" s="17"/>
      <c r="T99" s="17"/>
      <c r="U99" s="17"/>
      <c r="V99" s="17"/>
      <c r="W99" s="17"/>
      <c r="X99" s="17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9"/>
    </row>
    <row r="100" spans="1:37" ht="20.100000000000001" customHeight="1" x14ac:dyDescent="0.3">
      <c r="A100" s="20">
        <v>88</v>
      </c>
      <c r="B100" s="15"/>
      <c r="C100" s="15"/>
      <c r="D100" s="15"/>
      <c r="E100" s="15"/>
      <c r="F100" s="15"/>
      <c r="G100" s="15"/>
      <c r="H100" s="15"/>
      <c r="I100" s="16"/>
      <c r="J100" s="16"/>
      <c r="K100" s="16"/>
      <c r="L100" s="16"/>
      <c r="M100" s="16"/>
      <c r="N100" s="16"/>
      <c r="O100" s="16"/>
      <c r="P100" s="16"/>
      <c r="Q100" s="16"/>
      <c r="R100" s="17"/>
      <c r="S100" s="17"/>
      <c r="T100" s="17"/>
      <c r="U100" s="17"/>
      <c r="V100" s="17"/>
      <c r="W100" s="17"/>
      <c r="X100" s="17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9"/>
    </row>
    <row r="101" spans="1:37" ht="20.100000000000001" customHeight="1" x14ac:dyDescent="0.3">
      <c r="A101" s="20">
        <v>89</v>
      </c>
      <c r="B101" s="15"/>
      <c r="C101" s="15"/>
      <c r="D101" s="15"/>
      <c r="E101" s="15"/>
      <c r="F101" s="15"/>
      <c r="G101" s="15"/>
      <c r="H101" s="15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s="17"/>
      <c r="T101" s="17"/>
      <c r="U101" s="17"/>
      <c r="V101" s="17"/>
      <c r="W101" s="17"/>
      <c r="X101" s="17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9"/>
    </row>
    <row r="102" spans="1:37" ht="20.100000000000001" customHeight="1" x14ac:dyDescent="0.3">
      <c r="A102" s="20">
        <v>90</v>
      </c>
      <c r="B102" s="15"/>
      <c r="C102" s="15"/>
      <c r="D102" s="15"/>
      <c r="E102" s="15"/>
      <c r="F102" s="15"/>
      <c r="G102" s="15"/>
      <c r="H102" s="15"/>
      <c r="I102" s="16"/>
      <c r="J102" s="16"/>
      <c r="K102" s="16"/>
      <c r="L102" s="16"/>
      <c r="M102" s="16"/>
      <c r="N102" s="16"/>
      <c r="O102" s="16"/>
      <c r="P102" s="16"/>
      <c r="Q102" s="16"/>
      <c r="R102" s="17"/>
      <c r="S102" s="17"/>
      <c r="T102" s="17"/>
      <c r="U102" s="17"/>
      <c r="V102" s="17"/>
      <c r="W102" s="17"/>
      <c r="X102" s="17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9"/>
    </row>
    <row r="103" spans="1:37" ht="20.100000000000001" customHeight="1" x14ac:dyDescent="0.3">
      <c r="A103" s="20">
        <v>91</v>
      </c>
      <c r="B103" s="15"/>
      <c r="C103" s="15"/>
      <c r="D103" s="15"/>
      <c r="E103" s="15"/>
      <c r="F103" s="15"/>
      <c r="G103" s="15"/>
      <c r="H103" s="15"/>
      <c r="I103" s="16"/>
      <c r="J103" s="16"/>
      <c r="K103" s="16"/>
      <c r="L103" s="16"/>
      <c r="M103" s="16"/>
      <c r="N103" s="16"/>
      <c r="O103" s="16"/>
      <c r="P103" s="16"/>
      <c r="Q103" s="16"/>
      <c r="R103" s="17"/>
      <c r="S103" s="17"/>
      <c r="T103" s="17"/>
      <c r="U103" s="17"/>
      <c r="V103" s="17"/>
      <c r="W103" s="17"/>
      <c r="X103" s="17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9"/>
    </row>
    <row r="104" spans="1:37" ht="20.100000000000001" customHeight="1" x14ac:dyDescent="0.3">
      <c r="A104" s="20">
        <v>92</v>
      </c>
      <c r="B104" s="15"/>
      <c r="C104" s="15"/>
      <c r="D104" s="15"/>
      <c r="E104" s="15"/>
      <c r="F104" s="15"/>
      <c r="G104" s="15"/>
      <c r="H104" s="15"/>
      <c r="I104" s="16"/>
      <c r="J104" s="16"/>
      <c r="K104" s="16"/>
      <c r="L104" s="16"/>
      <c r="M104" s="16"/>
      <c r="N104" s="16"/>
      <c r="O104" s="16"/>
      <c r="P104" s="16"/>
      <c r="Q104" s="16"/>
      <c r="R104" s="17"/>
      <c r="S104" s="17"/>
      <c r="T104" s="17"/>
      <c r="U104" s="17"/>
      <c r="V104" s="17"/>
      <c r="W104" s="17"/>
      <c r="X104" s="17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9"/>
    </row>
    <row r="105" spans="1:37" ht="20.100000000000001" customHeight="1" x14ac:dyDescent="0.3">
      <c r="A105" s="20">
        <v>93</v>
      </c>
      <c r="B105" s="15"/>
      <c r="C105" s="15"/>
      <c r="D105" s="15"/>
      <c r="E105" s="15"/>
      <c r="F105" s="15"/>
      <c r="G105" s="15"/>
      <c r="H105" s="15"/>
      <c r="I105" s="16"/>
      <c r="J105" s="16"/>
      <c r="K105" s="16"/>
      <c r="L105" s="16"/>
      <c r="M105" s="16"/>
      <c r="N105" s="16"/>
      <c r="O105" s="16"/>
      <c r="P105" s="16"/>
      <c r="Q105" s="16"/>
      <c r="R105" s="17"/>
      <c r="S105" s="17"/>
      <c r="T105" s="17"/>
      <c r="U105" s="17"/>
      <c r="V105" s="17"/>
      <c r="W105" s="17"/>
      <c r="X105" s="17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9"/>
    </row>
    <row r="106" spans="1:37" ht="20.100000000000001" customHeight="1" x14ac:dyDescent="0.3">
      <c r="A106" s="20">
        <v>94</v>
      </c>
      <c r="B106" s="15"/>
      <c r="C106" s="15"/>
      <c r="D106" s="15"/>
      <c r="E106" s="15"/>
      <c r="F106" s="15"/>
      <c r="G106" s="15"/>
      <c r="H106" s="15"/>
      <c r="I106" s="16"/>
      <c r="J106" s="16"/>
      <c r="K106" s="16"/>
      <c r="L106" s="16"/>
      <c r="M106" s="16"/>
      <c r="N106" s="16"/>
      <c r="O106" s="16"/>
      <c r="P106" s="16"/>
      <c r="Q106" s="16"/>
      <c r="R106" s="17"/>
      <c r="S106" s="17"/>
      <c r="T106" s="17"/>
      <c r="U106" s="17"/>
      <c r="V106" s="17"/>
      <c r="W106" s="17"/>
      <c r="X106" s="17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9"/>
    </row>
    <row r="107" spans="1:37" ht="20.100000000000001" customHeight="1" x14ac:dyDescent="0.3">
      <c r="A107" s="20">
        <v>95</v>
      </c>
      <c r="B107" s="15"/>
      <c r="C107" s="15"/>
      <c r="D107" s="15"/>
      <c r="E107" s="15"/>
      <c r="F107" s="15"/>
      <c r="G107" s="15"/>
      <c r="H107" s="15"/>
      <c r="I107" s="16"/>
      <c r="J107" s="16"/>
      <c r="K107" s="16"/>
      <c r="L107" s="16"/>
      <c r="M107" s="16"/>
      <c r="N107" s="16"/>
      <c r="O107" s="16"/>
      <c r="P107" s="16"/>
      <c r="Q107" s="16"/>
      <c r="R107" s="17"/>
      <c r="S107" s="17"/>
      <c r="T107" s="17"/>
      <c r="U107" s="17"/>
      <c r="V107" s="17"/>
      <c r="W107" s="17"/>
      <c r="X107" s="17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9"/>
    </row>
    <row r="108" spans="1:37" ht="20.100000000000001" customHeight="1" x14ac:dyDescent="0.3">
      <c r="A108" s="20">
        <v>96</v>
      </c>
      <c r="B108" s="15"/>
      <c r="C108" s="15"/>
      <c r="D108" s="15"/>
      <c r="E108" s="15"/>
      <c r="F108" s="15"/>
      <c r="G108" s="15"/>
      <c r="H108" s="15"/>
      <c r="I108" s="16"/>
      <c r="J108" s="16"/>
      <c r="K108" s="16"/>
      <c r="L108" s="16"/>
      <c r="M108" s="16"/>
      <c r="N108" s="16"/>
      <c r="O108" s="16"/>
      <c r="P108" s="16"/>
      <c r="Q108" s="16"/>
      <c r="R108" s="17"/>
      <c r="S108" s="17"/>
      <c r="T108" s="17"/>
      <c r="U108" s="17"/>
      <c r="V108" s="17"/>
      <c r="W108" s="17"/>
      <c r="X108" s="17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9"/>
    </row>
    <row r="109" spans="1:37" ht="20.100000000000001" customHeight="1" x14ac:dyDescent="0.3">
      <c r="A109" s="20">
        <v>97</v>
      </c>
      <c r="B109" s="15"/>
      <c r="C109" s="15"/>
      <c r="D109" s="15"/>
      <c r="E109" s="15"/>
      <c r="F109" s="15"/>
      <c r="G109" s="15"/>
      <c r="H109" s="15"/>
      <c r="I109" s="16"/>
      <c r="J109" s="16"/>
      <c r="K109" s="16"/>
      <c r="L109" s="16"/>
      <c r="M109" s="16"/>
      <c r="N109" s="16"/>
      <c r="O109" s="16"/>
      <c r="P109" s="16"/>
      <c r="Q109" s="16"/>
      <c r="R109" s="17"/>
      <c r="S109" s="17"/>
      <c r="T109" s="17"/>
      <c r="U109" s="17"/>
      <c r="V109" s="17"/>
      <c r="W109" s="17"/>
      <c r="X109" s="17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9"/>
    </row>
    <row r="110" spans="1:37" ht="20.100000000000001" customHeight="1" x14ac:dyDescent="0.3">
      <c r="A110" s="20">
        <v>98</v>
      </c>
      <c r="B110" s="15"/>
      <c r="C110" s="15"/>
      <c r="D110" s="15"/>
      <c r="E110" s="15"/>
      <c r="F110" s="15"/>
      <c r="G110" s="15"/>
      <c r="H110" s="15"/>
      <c r="I110" s="16"/>
      <c r="J110" s="16"/>
      <c r="K110" s="16"/>
      <c r="L110" s="16"/>
      <c r="M110" s="16"/>
      <c r="N110" s="16"/>
      <c r="O110" s="16"/>
      <c r="P110" s="16"/>
      <c r="Q110" s="16"/>
      <c r="R110" s="17"/>
      <c r="S110" s="17"/>
      <c r="T110" s="17"/>
      <c r="U110" s="17"/>
      <c r="V110" s="17"/>
      <c r="W110" s="17"/>
      <c r="X110" s="17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9"/>
    </row>
    <row r="111" spans="1:37" ht="20.100000000000001" customHeight="1" x14ac:dyDescent="0.3">
      <c r="A111" s="20">
        <v>99</v>
      </c>
      <c r="B111" s="15"/>
      <c r="C111" s="15"/>
      <c r="D111" s="15"/>
      <c r="E111" s="15"/>
      <c r="F111" s="15"/>
      <c r="G111" s="15"/>
      <c r="H111" s="15"/>
      <c r="I111" s="16"/>
      <c r="J111" s="16"/>
      <c r="K111" s="16"/>
      <c r="L111" s="16"/>
      <c r="M111" s="16"/>
      <c r="N111" s="16"/>
      <c r="O111" s="16"/>
      <c r="P111" s="16"/>
      <c r="Q111" s="16"/>
      <c r="R111" s="17"/>
      <c r="S111" s="17"/>
      <c r="T111" s="17"/>
      <c r="U111" s="17"/>
      <c r="V111" s="17"/>
      <c r="W111" s="17"/>
      <c r="X111" s="17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9"/>
    </row>
    <row r="112" spans="1:37" ht="20.100000000000001" customHeight="1" x14ac:dyDescent="0.3">
      <c r="A112" s="20">
        <v>100</v>
      </c>
      <c r="B112" s="15"/>
      <c r="C112" s="15"/>
      <c r="D112" s="15"/>
      <c r="E112" s="15"/>
      <c r="F112" s="15"/>
      <c r="G112" s="15"/>
      <c r="H112" s="15"/>
      <c r="I112" s="16"/>
      <c r="J112" s="16"/>
      <c r="K112" s="16"/>
      <c r="L112" s="16"/>
      <c r="M112" s="16"/>
      <c r="N112" s="16"/>
      <c r="O112" s="16"/>
      <c r="P112" s="16"/>
      <c r="Q112" s="16"/>
      <c r="R112" s="17"/>
      <c r="S112" s="17"/>
      <c r="T112" s="17"/>
      <c r="U112" s="17"/>
      <c r="V112" s="17"/>
      <c r="W112" s="17"/>
      <c r="X112" s="17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9"/>
    </row>
    <row r="113" spans="1:37" ht="20.100000000000001" customHeight="1" x14ac:dyDescent="0.3">
      <c r="A113" s="20">
        <v>101</v>
      </c>
      <c r="B113" s="15"/>
      <c r="C113" s="15"/>
      <c r="D113" s="15"/>
      <c r="E113" s="15"/>
      <c r="F113" s="15"/>
      <c r="G113" s="15"/>
      <c r="H113" s="15"/>
      <c r="I113" s="16"/>
      <c r="J113" s="16"/>
      <c r="K113" s="16"/>
      <c r="L113" s="16"/>
      <c r="M113" s="16"/>
      <c r="N113" s="16"/>
      <c r="O113" s="16"/>
      <c r="P113" s="16"/>
      <c r="Q113" s="16"/>
      <c r="R113" s="17"/>
      <c r="S113" s="17"/>
      <c r="T113" s="17"/>
      <c r="U113" s="17"/>
      <c r="V113" s="17"/>
      <c r="W113" s="17"/>
      <c r="X113" s="17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9"/>
    </row>
    <row r="114" spans="1:37" ht="20.100000000000001" customHeight="1" x14ac:dyDescent="0.3">
      <c r="A114" s="20">
        <v>102</v>
      </c>
      <c r="B114" s="15"/>
      <c r="C114" s="15"/>
      <c r="D114" s="15"/>
      <c r="E114" s="15"/>
      <c r="F114" s="15"/>
      <c r="G114" s="15"/>
      <c r="H114" s="15"/>
      <c r="I114" s="16"/>
      <c r="J114" s="16"/>
      <c r="K114" s="16"/>
      <c r="L114" s="16"/>
      <c r="M114" s="16"/>
      <c r="N114" s="16"/>
      <c r="O114" s="16"/>
      <c r="P114" s="16"/>
      <c r="Q114" s="16"/>
      <c r="R114" s="17"/>
      <c r="S114" s="17"/>
      <c r="T114" s="17"/>
      <c r="U114" s="17"/>
      <c r="V114" s="17"/>
      <c r="W114" s="17"/>
      <c r="X114" s="17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9"/>
    </row>
    <row r="115" spans="1:37" ht="20.100000000000001" customHeight="1" x14ac:dyDescent="0.3">
      <c r="A115" s="20">
        <v>103</v>
      </c>
      <c r="B115" s="15"/>
      <c r="C115" s="15"/>
      <c r="D115" s="15"/>
      <c r="E115" s="15"/>
      <c r="F115" s="15"/>
      <c r="G115" s="15"/>
      <c r="H115" s="15"/>
      <c r="I115" s="16"/>
      <c r="J115" s="16"/>
      <c r="K115" s="16"/>
      <c r="L115" s="16"/>
      <c r="M115" s="16"/>
      <c r="N115" s="16"/>
      <c r="O115" s="16"/>
      <c r="P115" s="16"/>
      <c r="Q115" s="16"/>
      <c r="R115" s="17"/>
      <c r="S115" s="17"/>
      <c r="T115" s="17"/>
      <c r="U115" s="17"/>
      <c r="V115" s="17"/>
      <c r="W115" s="17"/>
      <c r="X115" s="17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9"/>
    </row>
    <row r="116" spans="1:37" ht="20.100000000000001" customHeight="1" x14ac:dyDescent="0.3">
      <c r="A116" s="20">
        <v>104</v>
      </c>
      <c r="B116" s="15"/>
      <c r="C116" s="15"/>
      <c r="D116" s="15"/>
      <c r="E116" s="15"/>
      <c r="F116" s="15"/>
      <c r="G116" s="15"/>
      <c r="H116" s="15"/>
      <c r="I116" s="16"/>
      <c r="J116" s="16"/>
      <c r="K116" s="16"/>
      <c r="L116" s="16"/>
      <c r="M116" s="16"/>
      <c r="N116" s="16"/>
      <c r="O116" s="16"/>
      <c r="P116" s="16"/>
      <c r="Q116" s="16"/>
      <c r="R116" s="17"/>
      <c r="S116" s="17"/>
      <c r="T116" s="17"/>
      <c r="U116" s="17"/>
      <c r="V116" s="17"/>
      <c r="W116" s="17"/>
      <c r="X116" s="17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9"/>
    </row>
    <row r="117" spans="1:37" ht="20.100000000000001" customHeight="1" x14ac:dyDescent="0.3">
      <c r="A117" s="20">
        <v>105</v>
      </c>
      <c r="B117" s="15"/>
      <c r="C117" s="15"/>
      <c r="D117" s="15"/>
      <c r="E117" s="15"/>
      <c r="F117" s="15"/>
      <c r="G117" s="15"/>
      <c r="H117" s="15"/>
      <c r="I117" s="16"/>
      <c r="J117" s="16"/>
      <c r="K117" s="16"/>
      <c r="L117" s="16"/>
      <c r="M117" s="16"/>
      <c r="N117" s="16"/>
      <c r="O117" s="16"/>
      <c r="P117" s="16"/>
      <c r="Q117" s="16"/>
      <c r="R117" s="17"/>
      <c r="S117" s="17"/>
      <c r="T117" s="17"/>
      <c r="U117" s="17"/>
      <c r="V117" s="17"/>
      <c r="W117" s="17"/>
      <c r="X117" s="17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9"/>
    </row>
    <row r="118" spans="1:37" ht="20.100000000000001" customHeight="1" x14ac:dyDescent="0.3">
      <c r="A118" s="20">
        <v>106</v>
      </c>
      <c r="B118" s="15"/>
      <c r="C118" s="15"/>
      <c r="D118" s="15"/>
      <c r="E118" s="15"/>
      <c r="F118" s="15"/>
      <c r="G118" s="15"/>
      <c r="H118" s="15"/>
      <c r="I118" s="16"/>
      <c r="J118" s="16"/>
      <c r="K118" s="16"/>
      <c r="L118" s="16"/>
      <c r="M118" s="16"/>
      <c r="N118" s="16"/>
      <c r="O118" s="16"/>
      <c r="P118" s="16"/>
      <c r="Q118" s="16"/>
      <c r="R118" s="17"/>
      <c r="S118" s="17"/>
      <c r="T118" s="17"/>
      <c r="U118" s="17"/>
      <c r="V118" s="17"/>
      <c r="W118" s="17"/>
      <c r="X118" s="17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9"/>
    </row>
    <row r="119" spans="1:37" ht="20.100000000000001" customHeight="1" x14ac:dyDescent="0.3">
      <c r="A119" s="20">
        <v>107</v>
      </c>
      <c r="B119" s="15"/>
      <c r="C119" s="15"/>
      <c r="D119" s="15"/>
      <c r="E119" s="15"/>
      <c r="F119" s="15"/>
      <c r="G119" s="15"/>
      <c r="H119" s="15"/>
      <c r="I119" s="16"/>
      <c r="J119" s="16"/>
      <c r="K119" s="16"/>
      <c r="L119" s="16"/>
      <c r="M119" s="16"/>
      <c r="N119" s="16"/>
      <c r="O119" s="16"/>
      <c r="P119" s="16"/>
      <c r="Q119" s="16"/>
      <c r="R119" s="17"/>
      <c r="S119" s="17"/>
      <c r="T119" s="17"/>
      <c r="U119" s="17"/>
      <c r="V119" s="17"/>
      <c r="W119" s="17"/>
      <c r="X119" s="17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9"/>
    </row>
    <row r="120" spans="1:37" ht="20.100000000000001" customHeight="1" x14ac:dyDescent="0.3">
      <c r="A120" s="20">
        <v>108</v>
      </c>
      <c r="B120" s="15"/>
      <c r="C120" s="15"/>
      <c r="D120" s="15"/>
      <c r="E120" s="15"/>
      <c r="F120" s="15"/>
      <c r="G120" s="15"/>
      <c r="H120" s="15"/>
      <c r="I120" s="16"/>
      <c r="J120" s="16"/>
      <c r="K120" s="16"/>
      <c r="L120" s="16"/>
      <c r="M120" s="16"/>
      <c r="N120" s="16"/>
      <c r="O120" s="16"/>
      <c r="P120" s="16"/>
      <c r="Q120" s="16"/>
      <c r="R120" s="17"/>
      <c r="S120" s="17"/>
      <c r="T120" s="17"/>
      <c r="U120" s="17"/>
      <c r="V120" s="17"/>
      <c r="W120" s="17"/>
      <c r="X120" s="17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9"/>
    </row>
    <row r="121" spans="1:37" ht="20.100000000000001" customHeight="1" x14ac:dyDescent="0.3">
      <c r="A121" s="20">
        <v>109</v>
      </c>
      <c r="B121" s="15"/>
      <c r="C121" s="15"/>
      <c r="D121" s="15"/>
      <c r="E121" s="15"/>
      <c r="F121" s="15"/>
      <c r="G121" s="15"/>
      <c r="H121" s="15"/>
      <c r="I121" s="16"/>
      <c r="J121" s="16"/>
      <c r="K121" s="16"/>
      <c r="L121" s="16"/>
      <c r="M121" s="16"/>
      <c r="N121" s="16"/>
      <c r="O121" s="16"/>
      <c r="P121" s="16"/>
      <c r="Q121" s="16"/>
      <c r="R121" s="17"/>
      <c r="S121" s="17"/>
      <c r="T121" s="17"/>
      <c r="U121" s="17"/>
      <c r="V121" s="17"/>
      <c r="W121" s="17"/>
      <c r="X121" s="17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9"/>
    </row>
    <row r="122" spans="1:37" ht="20.100000000000001" customHeight="1" x14ac:dyDescent="0.3">
      <c r="A122" s="20">
        <v>110</v>
      </c>
      <c r="B122" s="15"/>
      <c r="C122" s="15"/>
      <c r="D122" s="15"/>
      <c r="E122" s="15"/>
      <c r="F122" s="15"/>
      <c r="G122" s="15"/>
      <c r="H122" s="15"/>
      <c r="I122" s="16"/>
      <c r="J122" s="16"/>
      <c r="K122" s="16"/>
      <c r="L122" s="16"/>
      <c r="M122" s="16"/>
      <c r="N122" s="16"/>
      <c r="O122" s="16"/>
      <c r="P122" s="16"/>
      <c r="Q122" s="16"/>
      <c r="R122" s="17"/>
      <c r="S122" s="17"/>
      <c r="T122" s="17"/>
      <c r="U122" s="17"/>
      <c r="V122" s="17"/>
      <c r="W122" s="17"/>
      <c r="X122" s="17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9"/>
    </row>
    <row r="123" spans="1:37" ht="20.100000000000001" customHeight="1" x14ac:dyDescent="0.3">
      <c r="A123" s="20">
        <v>111</v>
      </c>
      <c r="B123" s="15"/>
      <c r="C123" s="15"/>
      <c r="D123" s="15"/>
      <c r="E123" s="15"/>
      <c r="F123" s="15"/>
      <c r="G123" s="15"/>
      <c r="H123" s="15"/>
      <c r="I123" s="16"/>
      <c r="J123" s="16"/>
      <c r="K123" s="16"/>
      <c r="L123" s="16"/>
      <c r="M123" s="16"/>
      <c r="N123" s="16"/>
      <c r="O123" s="16"/>
      <c r="P123" s="16"/>
      <c r="Q123" s="16"/>
      <c r="R123" s="17"/>
      <c r="S123" s="17"/>
      <c r="T123" s="17"/>
      <c r="U123" s="17"/>
      <c r="V123" s="17"/>
      <c r="W123" s="17"/>
      <c r="X123" s="17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9"/>
    </row>
    <row r="124" spans="1:37" ht="20.100000000000001" customHeight="1" x14ac:dyDescent="0.3">
      <c r="A124" s="20">
        <v>112</v>
      </c>
      <c r="B124" s="15"/>
      <c r="C124" s="15"/>
      <c r="D124" s="15"/>
      <c r="E124" s="15"/>
      <c r="F124" s="15"/>
      <c r="G124" s="15"/>
      <c r="H124" s="15"/>
      <c r="I124" s="16"/>
      <c r="J124" s="16"/>
      <c r="K124" s="16"/>
      <c r="L124" s="16"/>
      <c r="M124" s="16"/>
      <c r="N124" s="16"/>
      <c r="O124" s="16"/>
      <c r="P124" s="16"/>
      <c r="Q124" s="16"/>
      <c r="R124" s="17"/>
      <c r="S124" s="17"/>
      <c r="T124" s="17"/>
      <c r="U124" s="17"/>
      <c r="V124" s="17"/>
      <c r="W124" s="17"/>
      <c r="X124" s="17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9"/>
    </row>
    <row r="125" spans="1:37" ht="20.100000000000001" customHeight="1" x14ac:dyDescent="0.3">
      <c r="A125" s="20">
        <v>113</v>
      </c>
      <c r="B125" s="15"/>
      <c r="C125" s="15"/>
      <c r="D125" s="15"/>
      <c r="E125" s="15"/>
      <c r="F125" s="15"/>
      <c r="G125" s="15"/>
      <c r="H125" s="15"/>
      <c r="I125" s="16"/>
      <c r="J125" s="16"/>
      <c r="K125" s="16"/>
      <c r="L125" s="16"/>
      <c r="M125" s="16"/>
      <c r="N125" s="16"/>
      <c r="O125" s="16"/>
      <c r="P125" s="16"/>
      <c r="Q125" s="16"/>
      <c r="R125" s="17"/>
      <c r="S125" s="17"/>
      <c r="T125" s="17"/>
      <c r="U125" s="17"/>
      <c r="V125" s="17"/>
      <c r="W125" s="17"/>
      <c r="X125" s="17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9"/>
    </row>
    <row r="126" spans="1:37" ht="20.100000000000001" customHeight="1" x14ac:dyDescent="0.3">
      <c r="A126" s="20">
        <v>114</v>
      </c>
      <c r="B126" s="15"/>
      <c r="C126" s="15"/>
      <c r="D126" s="15"/>
      <c r="E126" s="15"/>
      <c r="F126" s="15"/>
      <c r="G126" s="15"/>
      <c r="H126" s="15"/>
      <c r="I126" s="16"/>
      <c r="J126" s="16"/>
      <c r="K126" s="16"/>
      <c r="L126" s="16"/>
      <c r="M126" s="16"/>
      <c r="N126" s="16"/>
      <c r="O126" s="16"/>
      <c r="P126" s="16"/>
      <c r="Q126" s="16"/>
      <c r="R126" s="17"/>
      <c r="S126" s="17"/>
      <c r="T126" s="17"/>
      <c r="U126" s="17"/>
      <c r="V126" s="17"/>
      <c r="W126" s="17"/>
      <c r="X126" s="17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9"/>
    </row>
    <row r="127" spans="1:37" ht="20.100000000000001" customHeight="1" x14ac:dyDescent="0.3">
      <c r="A127" s="20">
        <v>115</v>
      </c>
      <c r="B127" s="15"/>
      <c r="C127" s="15"/>
      <c r="D127" s="15"/>
      <c r="E127" s="15"/>
      <c r="F127" s="15"/>
      <c r="G127" s="15"/>
      <c r="H127" s="15"/>
      <c r="I127" s="16"/>
      <c r="J127" s="16"/>
      <c r="K127" s="16"/>
      <c r="L127" s="16"/>
      <c r="M127" s="16"/>
      <c r="N127" s="16"/>
      <c r="O127" s="16"/>
      <c r="P127" s="16"/>
      <c r="Q127" s="16"/>
      <c r="R127" s="17"/>
      <c r="S127" s="17"/>
      <c r="T127" s="17"/>
      <c r="U127" s="17"/>
      <c r="V127" s="17"/>
      <c r="W127" s="17"/>
      <c r="X127" s="17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9"/>
    </row>
    <row r="128" spans="1:37" ht="20.100000000000001" customHeight="1" x14ac:dyDescent="0.3">
      <c r="A128" s="20">
        <v>116</v>
      </c>
      <c r="B128" s="15"/>
      <c r="C128" s="15"/>
      <c r="D128" s="15"/>
      <c r="E128" s="15"/>
      <c r="F128" s="15"/>
      <c r="G128" s="15"/>
      <c r="H128" s="15"/>
      <c r="I128" s="16"/>
      <c r="J128" s="16"/>
      <c r="K128" s="16"/>
      <c r="L128" s="16"/>
      <c r="M128" s="16"/>
      <c r="N128" s="16"/>
      <c r="O128" s="16"/>
      <c r="P128" s="16"/>
      <c r="Q128" s="16"/>
      <c r="R128" s="17"/>
      <c r="S128" s="17"/>
      <c r="T128" s="17"/>
      <c r="U128" s="17"/>
      <c r="V128" s="17"/>
      <c r="W128" s="17"/>
      <c r="X128" s="17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9"/>
    </row>
    <row r="129" spans="1:37" ht="20.100000000000001" customHeight="1" x14ac:dyDescent="0.3">
      <c r="A129" s="20">
        <v>117</v>
      </c>
      <c r="B129" s="15"/>
      <c r="C129" s="15"/>
      <c r="D129" s="15"/>
      <c r="E129" s="15"/>
      <c r="F129" s="15"/>
      <c r="G129" s="15"/>
      <c r="H129" s="15"/>
      <c r="I129" s="16"/>
      <c r="J129" s="16"/>
      <c r="K129" s="16"/>
      <c r="L129" s="16"/>
      <c r="M129" s="16"/>
      <c r="N129" s="16"/>
      <c r="O129" s="16"/>
      <c r="P129" s="16"/>
      <c r="Q129" s="16"/>
      <c r="R129" s="17"/>
      <c r="S129" s="17"/>
      <c r="T129" s="17"/>
      <c r="U129" s="17"/>
      <c r="V129" s="17"/>
      <c r="W129" s="17"/>
      <c r="X129" s="17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9"/>
    </row>
    <row r="130" spans="1:37" ht="20.100000000000001" customHeight="1" x14ac:dyDescent="0.3">
      <c r="A130" s="20">
        <v>118</v>
      </c>
      <c r="B130" s="15"/>
      <c r="C130" s="15"/>
      <c r="D130" s="15"/>
      <c r="E130" s="15"/>
      <c r="F130" s="15"/>
      <c r="G130" s="15"/>
      <c r="H130" s="15"/>
      <c r="I130" s="16"/>
      <c r="J130" s="16"/>
      <c r="K130" s="16"/>
      <c r="L130" s="16"/>
      <c r="M130" s="16"/>
      <c r="N130" s="16"/>
      <c r="O130" s="16"/>
      <c r="P130" s="16"/>
      <c r="Q130" s="16"/>
      <c r="R130" s="17"/>
      <c r="S130" s="17"/>
      <c r="T130" s="17"/>
      <c r="U130" s="17"/>
      <c r="V130" s="17"/>
      <c r="W130" s="17"/>
      <c r="X130" s="17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9"/>
    </row>
    <row r="131" spans="1:37" ht="20.100000000000001" customHeight="1" x14ac:dyDescent="0.3">
      <c r="A131" s="20">
        <v>119</v>
      </c>
      <c r="B131" s="15"/>
      <c r="C131" s="15"/>
      <c r="D131" s="15"/>
      <c r="E131" s="15"/>
      <c r="F131" s="15"/>
      <c r="G131" s="15"/>
      <c r="H131" s="15"/>
      <c r="I131" s="16"/>
      <c r="J131" s="16"/>
      <c r="K131" s="16"/>
      <c r="L131" s="16"/>
      <c r="M131" s="16"/>
      <c r="N131" s="16"/>
      <c r="O131" s="16"/>
      <c r="P131" s="16"/>
      <c r="Q131" s="16"/>
      <c r="R131" s="17"/>
      <c r="S131" s="17"/>
      <c r="T131" s="17"/>
      <c r="U131" s="17"/>
      <c r="V131" s="17"/>
      <c r="W131" s="17"/>
      <c r="X131" s="17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9"/>
    </row>
    <row r="132" spans="1:37" ht="20.100000000000001" customHeight="1" x14ac:dyDescent="0.3">
      <c r="A132" s="20">
        <v>120</v>
      </c>
      <c r="B132" s="15"/>
      <c r="C132" s="15"/>
      <c r="D132" s="15"/>
      <c r="E132" s="15"/>
      <c r="F132" s="15"/>
      <c r="G132" s="15"/>
      <c r="H132" s="15"/>
      <c r="I132" s="16"/>
      <c r="J132" s="16"/>
      <c r="K132" s="16"/>
      <c r="L132" s="16"/>
      <c r="M132" s="16"/>
      <c r="N132" s="16"/>
      <c r="O132" s="16"/>
      <c r="P132" s="16"/>
      <c r="Q132" s="16"/>
      <c r="R132" s="17"/>
      <c r="S132" s="17"/>
      <c r="T132" s="17"/>
      <c r="U132" s="17"/>
      <c r="V132" s="17"/>
      <c r="W132" s="17"/>
      <c r="X132" s="17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9"/>
    </row>
    <row r="133" spans="1:37" ht="20.100000000000001" customHeight="1" x14ac:dyDescent="0.3">
      <c r="A133" s="20">
        <v>121</v>
      </c>
      <c r="B133" s="15"/>
      <c r="C133" s="15"/>
      <c r="D133" s="15"/>
      <c r="E133" s="15"/>
      <c r="F133" s="15"/>
      <c r="G133" s="15"/>
      <c r="H133" s="15"/>
      <c r="I133" s="16"/>
      <c r="J133" s="16"/>
      <c r="K133" s="16"/>
      <c r="L133" s="16"/>
      <c r="M133" s="16"/>
      <c r="N133" s="16"/>
      <c r="O133" s="16"/>
      <c r="P133" s="16"/>
      <c r="Q133" s="16"/>
      <c r="R133" s="17"/>
      <c r="S133" s="17"/>
      <c r="T133" s="17"/>
      <c r="U133" s="17"/>
      <c r="V133" s="17"/>
      <c r="W133" s="17"/>
      <c r="X133" s="17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9"/>
    </row>
    <row r="134" spans="1:37" ht="20.100000000000001" customHeight="1" x14ac:dyDescent="0.3">
      <c r="A134" s="20">
        <v>122</v>
      </c>
      <c r="B134" s="15"/>
      <c r="C134" s="15"/>
      <c r="D134" s="15"/>
      <c r="E134" s="15"/>
      <c r="F134" s="15"/>
      <c r="G134" s="15"/>
      <c r="H134" s="15"/>
      <c r="I134" s="16"/>
      <c r="J134" s="16"/>
      <c r="K134" s="16"/>
      <c r="L134" s="16"/>
      <c r="M134" s="16"/>
      <c r="N134" s="16"/>
      <c r="O134" s="16"/>
      <c r="P134" s="16"/>
      <c r="Q134" s="16"/>
      <c r="R134" s="17"/>
      <c r="S134" s="17"/>
      <c r="T134" s="17"/>
      <c r="U134" s="17"/>
      <c r="V134" s="17"/>
      <c r="W134" s="17"/>
      <c r="X134" s="17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9"/>
    </row>
    <row r="135" spans="1:37" ht="20.100000000000001" customHeight="1" x14ac:dyDescent="0.3">
      <c r="A135" s="20">
        <v>123</v>
      </c>
      <c r="B135" s="15"/>
      <c r="C135" s="15"/>
      <c r="D135" s="15"/>
      <c r="E135" s="15"/>
      <c r="F135" s="15"/>
      <c r="G135" s="15"/>
      <c r="H135" s="15"/>
      <c r="I135" s="16"/>
      <c r="J135" s="16"/>
      <c r="K135" s="16"/>
      <c r="L135" s="16"/>
      <c r="M135" s="16"/>
      <c r="N135" s="16"/>
      <c r="O135" s="16"/>
      <c r="P135" s="16"/>
      <c r="Q135" s="16"/>
      <c r="R135" s="17"/>
      <c r="S135" s="17"/>
      <c r="T135" s="17"/>
      <c r="U135" s="17"/>
      <c r="V135" s="17"/>
      <c r="W135" s="17"/>
      <c r="X135" s="17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9"/>
    </row>
    <row r="136" spans="1:37" ht="20.100000000000001" customHeight="1" x14ac:dyDescent="0.3">
      <c r="A136" s="20">
        <v>124</v>
      </c>
      <c r="B136" s="15"/>
      <c r="C136" s="15"/>
      <c r="D136" s="15"/>
      <c r="E136" s="15"/>
      <c r="F136" s="15"/>
      <c r="G136" s="15"/>
      <c r="H136" s="15"/>
      <c r="I136" s="16"/>
      <c r="J136" s="16"/>
      <c r="K136" s="16"/>
      <c r="L136" s="16"/>
      <c r="M136" s="16"/>
      <c r="N136" s="16"/>
      <c r="O136" s="16"/>
      <c r="P136" s="16"/>
      <c r="Q136" s="16"/>
      <c r="R136" s="17"/>
      <c r="S136" s="17"/>
      <c r="T136" s="17"/>
      <c r="U136" s="17"/>
      <c r="V136" s="17"/>
      <c r="W136" s="17"/>
      <c r="X136" s="17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9"/>
    </row>
    <row r="137" spans="1:37" ht="20.100000000000001" customHeight="1" x14ac:dyDescent="0.3">
      <c r="A137" s="20">
        <v>125</v>
      </c>
      <c r="B137" s="15"/>
      <c r="C137" s="15"/>
      <c r="D137" s="15"/>
      <c r="E137" s="15"/>
      <c r="F137" s="15"/>
      <c r="G137" s="15"/>
      <c r="H137" s="15"/>
      <c r="I137" s="16"/>
      <c r="J137" s="16"/>
      <c r="K137" s="16"/>
      <c r="L137" s="16"/>
      <c r="M137" s="16"/>
      <c r="N137" s="16"/>
      <c r="O137" s="16"/>
      <c r="P137" s="16"/>
      <c r="Q137" s="16"/>
      <c r="R137" s="17"/>
      <c r="S137" s="17"/>
      <c r="T137" s="17"/>
      <c r="U137" s="17"/>
      <c r="V137" s="17"/>
      <c r="W137" s="17"/>
      <c r="X137" s="17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9"/>
    </row>
    <row r="138" spans="1:37" ht="20.100000000000001" customHeight="1" x14ac:dyDescent="0.3">
      <c r="A138" s="20">
        <v>126</v>
      </c>
      <c r="B138" s="15"/>
      <c r="C138" s="15"/>
      <c r="D138" s="15"/>
      <c r="E138" s="15"/>
      <c r="F138" s="15"/>
      <c r="G138" s="15"/>
      <c r="H138" s="15"/>
      <c r="I138" s="16"/>
      <c r="J138" s="16"/>
      <c r="K138" s="16"/>
      <c r="L138" s="16"/>
      <c r="M138" s="16"/>
      <c r="N138" s="16"/>
      <c r="O138" s="16"/>
      <c r="P138" s="16"/>
      <c r="Q138" s="16"/>
      <c r="R138" s="17"/>
      <c r="S138" s="17"/>
      <c r="T138" s="17"/>
      <c r="U138" s="17"/>
      <c r="V138" s="17"/>
      <c r="W138" s="17"/>
      <c r="X138" s="17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9"/>
    </row>
    <row r="139" spans="1:37" ht="20.100000000000001" customHeight="1" x14ac:dyDescent="0.3">
      <c r="A139" s="20">
        <v>127</v>
      </c>
      <c r="B139" s="15"/>
      <c r="C139" s="15"/>
      <c r="D139" s="15"/>
      <c r="E139" s="15"/>
      <c r="F139" s="15"/>
      <c r="G139" s="15"/>
      <c r="H139" s="15"/>
      <c r="I139" s="16"/>
      <c r="J139" s="16"/>
      <c r="K139" s="16"/>
      <c r="L139" s="16"/>
      <c r="M139" s="16"/>
      <c r="N139" s="16"/>
      <c r="O139" s="16"/>
      <c r="P139" s="16"/>
      <c r="Q139" s="16"/>
      <c r="R139" s="17"/>
      <c r="S139" s="17"/>
      <c r="T139" s="17"/>
      <c r="U139" s="17"/>
      <c r="V139" s="17"/>
      <c r="W139" s="17"/>
      <c r="X139" s="17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9"/>
    </row>
    <row r="140" spans="1:37" ht="20.100000000000001" customHeight="1" x14ac:dyDescent="0.3">
      <c r="A140" s="20">
        <v>128</v>
      </c>
      <c r="B140" s="15"/>
      <c r="C140" s="15"/>
      <c r="D140" s="15"/>
      <c r="E140" s="15"/>
      <c r="F140" s="15"/>
      <c r="G140" s="15"/>
      <c r="H140" s="15"/>
      <c r="I140" s="16"/>
      <c r="J140" s="16"/>
      <c r="K140" s="16"/>
      <c r="L140" s="16"/>
      <c r="M140" s="16"/>
      <c r="N140" s="16"/>
      <c r="O140" s="16"/>
      <c r="P140" s="16"/>
      <c r="Q140" s="16"/>
      <c r="R140" s="17"/>
      <c r="S140" s="17"/>
      <c r="T140" s="17"/>
      <c r="U140" s="17"/>
      <c r="V140" s="17"/>
      <c r="W140" s="17"/>
      <c r="X140" s="17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9"/>
    </row>
    <row r="141" spans="1:37" ht="20.100000000000001" customHeight="1" x14ac:dyDescent="0.3">
      <c r="A141" s="20">
        <v>129</v>
      </c>
      <c r="B141" s="15"/>
      <c r="C141" s="15"/>
      <c r="D141" s="15"/>
      <c r="E141" s="15"/>
      <c r="F141" s="15"/>
      <c r="G141" s="15"/>
      <c r="H141" s="15"/>
      <c r="I141" s="16"/>
      <c r="J141" s="16"/>
      <c r="K141" s="16"/>
      <c r="L141" s="16"/>
      <c r="M141" s="16"/>
      <c r="N141" s="16"/>
      <c r="O141" s="16"/>
      <c r="P141" s="16"/>
      <c r="Q141" s="16"/>
      <c r="R141" s="17"/>
      <c r="S141" s="17"/>
      <c r="T141" s="17"/>
      <c r="U141" s="17"/>
      <c r="V141" s="17"/>
      <c r="W141" s="17"/>
      <c r="X141" s="17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9"/>
    </row>
    <row r="142" spans="1:37" ht="20.100000000000001" customHeight="1" x14ac:dyDescent="0.3">
      <c r="A142" s="20">
        <v>130</v>
      </c>
      <c r="B142" s="15"/>
      <c r="C142" s="15"/>
      <c r="D142" s="15"/>
      <c r="E142" s="15"/>
      <c r="F142" s="15"/>
      <c r="G142" s="15"/>
      <c r="H142" s="15"/>
      <c r="I142" s="16"/>
      <c r="J142" s="16"/>
      <c r="K142" s="16"/>
      <c r="L142" s="16"/>
      <c r="M142" s="16"/>
      <c r="N142" s="16"/>
      <c r="O142" s="16"/>
      <c r="P142" s="16"/>
      <c r="Q142" s="16"/>
      <c r="R142" s="17"/>
      <c r="S142" s="17"/>
      <c r="T142" s="17"/>
      <c r="U142" s="17"/>
      <c r="V142" s="17"/>
      <c r="W142" s="17"/>
      <c r="X142" s="17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9"/>
    </row>
    <row r="143" spans="1:37" ht="20.100000000000001" customHeight="1" x14ac:dyDescent="0.3">
      <c r="A143" s="20">
        <v>131</v>
      </c>
      <c r="B143" s="15"/>
      <c r="C143" s="15"/>
      <c r="D143" s="15"/>
      <c r="E143" s="15"/>
      <c r="F143" s="15"/>
      <c r="G143" s="15"/>
      <c r="H143" s="15"/>
      <c r="I143" s="16"/>
      <c r="J143" s="16"/>
      <c r="K143" s="16"/>
      <c r="L143" s="16"/>
      <c r="M143" s="16"/>
      <c r="N143" s="16"/>
      <c r="O143" s="16"/>
      <c r="P143" s="16"/>
      <c r="Q143" s="16"/>
      <c r="R143" s="17"/>
      <c r="S143" s="17"/>
      <c r="T143" s="17"/>
      <c r="U143" s="17"/>
      <c r="V143" s="17"/>
      <c r="W143" s="17"/>
      <c r="X143" s="17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9"/>
    </row>
    <row r="144" spans="1:37" ht="20.100000000000001" customHeight="1" x14ac:dyDescent="0.3">
      <c r="A144" s="20">
        <v>132</v>
      </c>
      <c r="B144" s="15"/>
      <c r="C144" s="15"/>
      <c r="D144" s="15"/>
      <c r="E144" s="15"/>
      <c r="F144" s="15"/>
      <c r="G144" s="15"/>
      <c r="H144" s="15"/>
      <c r="I144" s="16"/>
      <c r="J144" s="16"/>
      <c r="K144" s="16"/>
      <c r="L144" s="16"/>
      <c r="M144" s="16"/>
      <c r="N144" s="16"/>
      <c r="O144" s="16"/>
      <c r="P144" s="16"/>
      <c r="Q144" s="16"/>
      <c r="R144" s="17"/>
      <c r="S144" s="17"/>
      <c r="T144" s="17"/>
      <c r="U144" s="17"/>
      <c r="V144" s="17"/>
      <c r="W144" s="17"/>
      <c r="X144" s="17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9"/>
    </row>
    <row r="145" spans="1:37" ht="20.100000000000001" customHeight="1" x14ac:dyDescent="0.3">
      <c r="A145" s="20">
        <v>133</v>
      </c>
      <c r="B145" s="15"/>
      <c r="C145" s="15"/>
      <c r="D145" s="15"/>
      <c r="E145" s="15"/>
      <c r="F145" s="15"/>
      <c r="G145" s="15"/>
      <c r="H145" s="15"/>
      <c r="I145" s="16"/>
      <c r="J145" s="16"/>
      <c r="K145" s="16"/>
      <c r="L145" s="16"/>
      <c r="M145" s="16"/>
      <c r="N145" s="16"/>
      <c r="O145" s="16"/>
      <c r="P145" s="16"/>
      <c r="Q145" s="16"/>
      <c r="R145" s="17"/>
      <c r="S145" s="17"/>
      <c r="T145" s="17"/>
      <c r="U145" s="17"/>
      <c r="V145" s="17"/>
      <c r="W145" s="17"/>
      <c r="X145" s="17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9"/>
    </row>
    <row r="146" spans="1:37" ht="20.100000000000001" customHeight="1" x14ac:dyDescent="0.3">
      <c r="A146" s="20">
        <v>134</v>
      </c>
      <c r="B146" s="15"/>
      <c r="C146" s="15"/>
      <c r="D146" s="15"/>
      <c r="E146" s="15"/>
      <c r="F146" s="15"/>
      <c r="G146" s="15"/>
      <c r="H146" s="15"/>
      <c r="I146" s="16"/>
      <c r="J146" s="16"/>
      <c r="K146" s="16"/>
      <c r="L146" s="16"/>
      <c r="M146" s="16"/>
      <c r="N146" s="16"/>
      <c r="O146" s="16"/>
      <c r="P146" s="16"/>
      <c r="Q146" s="16"/>
      <c r="R146" s="17"/>
      <c r="S146" s="17"/>
      <c r="T146" s="17"/>
      <c r="U146" s="17"/>
      <c r="V146" s="17"/>
      <c r="W146" s="17"/>
      <c r="X146" s="17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9"/>
    </row>
    <row r="147" spans="1:37" ht="20.100000000000001" customHeight="1" x14ac:dyDescent="0.3">
      <c r="A147" s="20">
        <v>135</v>
      </c>
      <c r="B147" s="15"/>
      <c r="C147" s="15"/>
      <c r="D147" s="15"/>
      <c r="E147" s="15"/>
      <c r="F147" s="15"/>
      <c r="G147" s="15"/>
      <c r="H147" s="15"/>
      <c r="I147" s="16"/>
      <c r="J147" s="16"/>
      <c r="K147" s="16"/>
      <c r="L147" s="16"/>
      <c r="M147" s="16"/>
      <c r="N147" s="16"/>
      <c r="O147" s="16"/>
      <c r="P147" s="16"/>
      <c r="Q147" s="16"/>
      <c r="R147" s="17"/>
      <c r="S147" s="17"/>
      <c r="T147" s="17"/>
      <c r="U147" s="17"/>
      <c r="V147" s="17"/>
      <c r="W147" s="17"/>
      <c r="X147" s="17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9"/>
    </row>
    <row r="148" spans="1:37" ht="20.100000000000001" customHeight="1" x14ac:dyDescent="0.3">
      <c r="A148" s="20">
        <v>136</v>
      </c>
      <c r="B148" s="15"/>
      <c r="C148" s="15"/>
      <c r="D148" s="15"/>
      <c r="E148" s="15"/>
      <c r="F148" s="15"/>
      <c r="G148" s="15"/>
      <c r="H148" s="15"/>
      <c r="I148" s="16"/>
      <c r="J148" s="16"/>
      <c r="K148" s="16"/>
      <c r="L148" s="16"/>
      <c r="M148" s="16"/>
      <c r="N148" s="16"/>
      <c r="O148" s="16"/>
      <c r="P148" s="16"/>
      <c r="Q148" s="16"/>
      <c r="R148" s="17"/>
      <c r="S148" s="17"/>
      <c r="T148" s="17"/>
      <c r="U148" s="17"/>
      <c r="V148" s="17"/>
      <c r="W148" s="17"/>
      <c r="X148" s="17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9"/>
    </row>
    <row r="149" spans="1:37" ht="20.100000000000001" customHeight="1" x14ac:dyDescent="0.3">
      <c r="A149" s="20">
        <v>137</v>
      </c>
      <c r="B149" s="15"/>
      <c r="C149" s="15"/>
      <c r="D149" s="15"/>
      <c r="E149" s="15"/>
      <c r="F149" s="15"/>
      <c r="G149" s="15"/>
      <c r="H149" s="15"/>
      <c r="I149" s="16"/>
      <c r="J149" s="16"/>
      <c r="K149" s="16"/>
      <c r="L149" s="16"/>
      <c r="M149" s="16"/>
      <c r="N149" s="16"/>
      <c r="O149" s="16"/>
      <c r="P149" s="16"/>
      <c r="Q149" s="16"/>
      <c r="R149" s="17"/>
      <c r="S149" s="17"/>
      <c r="T149" s="17"/>
      <c r="U149" s="17"/>
      <c r="V149" s="17"/>
      <c r="W149" s="17"/>
      <c r="X149" s="17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9"/>
    </row>
    <row r="150" spans="1:37" ht="20.100000000000001" customHeight="1" x14ac:dyDescent="0.3">
      <c r="A150" s="20">
        <v>138</v>
      </c>
      <c r="B150" s="15"/>
      <c r="C150" s="15"/>
      <c r="D150" s="15"/>
      <c r="E150" s="15"/>
      <c r="F150" s="15"/>
      <c r="G150" s="15"/>
      <c r="H150" s="15"/>
      <c r="I150" s="16"/>
      <c r="J150" s="16"/>
      <c r="K150" s="16"/>
      <c r="L150" s="16"/>
      <c r="M150" s="16"/>
      <c r="N150" s="16"/>
      <c r="O150" s="16"/>
      <c r="P150" s="16"/>
      <c r="Q150" s="16"/>
      <c r="R150" s="17"/>
      <c r="S150" s="17"/>
      <c r="T150" s="17"/>
      <c r="U150" s="17"/>
      <c r="V150" s="17"/>
      <c r="W150" s="17"/>
      <c r="X150" s="17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9"/>
    </row>
    <row r="151" spans="1:37" ht="20.100000000000001" customHeight="1" x14ac:dyDescent="0.3">
      <c r="A151" s="20">
        <v>139</v>
      </c>
      <c r="B151" s="15"/>
      <c r="C151" s="15"/>
      <c r="D151" s="15"/>
      <c r="E151" s="15"/>
      <c r="F151" s="15"/>
      <c r="G151" s="15"/>
      <c r="H151" s="15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s="17"/>
      <c r="T151" s="17"/>
      <c r="U151" s="17"/>
      <c r="V151" s="17"/>
      <c r="W151" s="17"/>
      <c r="X151" s="17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9"/>
    </row>
    <row r="152" spans="1:37" ht="20.100000000000001" customHeight="1" x14ac:dyDescent="0.3">
      <c r="A152" s="20">
        <v>140</v>
      </c>
      <c r="B152" s="15"/>
      <c r="C152" s="15"/>
      <c r="D152" s="15"/>
      <c r="E152" s="15"/>
      <c r="F152" s="15"/>
      <c r="G152" s="15"/>
      <c r="H152" s="15"/>
      <c r="I152" s="16"/>
      <c r="J152" s="16"/>
      <c r="K152" s="16"/>
      <c r="L152" s="16"/>
      <c r="M152" s="16"/>
      <c r="N152" s="16"/>
      <c r="O152" s="16"/>
      <c r="P152" s="16"/>
      <c r="Q152" s="16"/>
      <c r="R152" s="17"/>
      <c r="S152" s="17"/>
      <c r="T152" s="17"/>
      <c r="U152" s="17"/>
      <c r="V152" s="17"/>
      <c r="W152" s="17"/>
      <c r="X152" s="17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9"/>
    </row>
    <row r="153" spans="1:37" ht="20.100000000000001" customHeight="1" x14ac:dyDescent="0.3">
      <c r="A153" s="20">
        <v>141</v>
      </c>
      <c r="B153" s="15"/>
      <c r="C153" s="15"/>
      <c r="D153" s="15"/>
      <c r="E153" s="15"/>
      <c r="F153" s="15"/>
      <c r="G153" s="15"/>
      <c r="H153" s="15"/>
      <c r="I153" s="16"/>
      <c r="J153" s="16"/>
      <c r="K153" s="16"/>
      <c r="L153" s="16"/>
      <c r="M153" s="16"/>
      <c r="N153" s="16"/>
      <c r="O153" s="16"/>
      <c r="P153" s="16"/>
      <c r="Q153" s="16"/>
      <c r="R153" s="17"/>
      <c r="S153" s="17"/>
      <c r="T153" s="17"/>
      <c r="U153" s="17"/>
      <c r="V153" s="17"/>
      <c r="W153" s="17"/>
      <c r="X153" s="17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9"/>
    </row>
    <row r="154" spans="1:37" ht="20.100000000000001" customHeight="1" x14ac:dyDescent="0.3">
      <c r="A154" s="20">
        <v>142</v>
      </c>
      <c r="B154" s="15"/>
      <c r="C154" s="15"/>
      <c r="D154" s="15"/>
      <c r="E154" s="15"/>
      <c r="F154" s="15"/>
      <c r="G154" s="15"/>
      <c r="H154" s="15"/>
      <c r="I154" s="16"/>
      <c r="J154" s="16"/>
      <c r="K154" s="16"/>
      <c r="L154" s="16"/>
      <c r="M154" s="16"/>
      <c r="N154" s="16"/>
      <c r="O154" s="16"/>
      <c r="P154" s="16"/>
      <c r="Q154" s="16"/>
      <c r="R154" s="17"/>
      <c r="S154" s="17"/>
      <c r="T154" s="17"/>
      <c r="U154" s="17"/>
      <c r="V154" s="17"/>
      <c r="W154" s="17"/>
      <c r="X154" s="17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9"/>
    </row>
    <row r="155" spans="1:37" ht="20.100000000000001" customHeight="1" x14ac:dyDescent="0.3">
      <c r="A155" s="20">
        <v>143</v>
      </c>
      <c r="B155" s="15"/>
      <c r="C155" s="15"/>
      <c r="D155" s="15"/>
      <c r="E155" s="15"/>
      <c r="F155" s="15"/>
      <c r="G155" s="15"/>
      <c r="H155" s="15"/>
      <c r="I155" s="16"/>
      <c r="J155" s="16"/>
      <c r="K155" s="16"/>
      <c r="L155" s="16"/>
      <c r="M155" s="16"/>
      <c r="N155" s="16"/>
      <c r="O155" s="16"/>
      <c r="P155" s="16"/>
      <c r="Q155" s="16"/>
      <c r="R155" s="17"/>
      <c r="S155" s="17"/>
      <c r="T155" s="17"/>
      <c r="U155" s="17"/>
      <c r="V155" s="17"/>
      <c r="W155" s="17"/>
      <c r="X155" s="17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9"/>
    </row>
    <row r="156" spans="1:37" ht="20.100000000000001" customHeight="1" x14ac:dyDescent="0.3">
      <c r="A156" s="20">
        <v>144</v>
      </c>
      <c r="B156" s="15"/>
      <c r="C156" s="15"/>
      <c r="D156" s="15"/>
      <c r="E156" s="15"/>
      <c r="F156" s="15"/>
      <c r="G156" s="15"/>
      <c r="H156" s="15"/>
      <c r="I156" s="16"/>
      <c r="J156" s="16"/>
      <c r="K156" s="16"/>
      <c r="L156" s="16"/>
      <c r="M156" s="16"/>
      <c r="N156" s="16"/>
      <c r="O156" s="16"/>
      <c r="P156" s="16"/>
      <c r="Q156" s="16"/>
      <c r="R156" s="17"/>
      <c r="S156" s="17"/>
      <c r="T156" s="17"/>
      <c r="U156" s="17"/>
      <c r="V156" s="17"/>
      <c r="W156" s="17"/>
      <c r="X156" s="17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9"/>
    </row>
    <row r="157" spans="1:37" ht="20.100000000000001" customHeight="1" x14ac:dyDescent="0.3">
      <c r="A157" s="20">
        <v>145</v>
      </c>
      <c r="B157" s="15"/>
      <c r="C157" s="15"/>
      <c r="D157" s="15"/>
      <c r="E157" s="15"/>
      <c r="F157" s="15"/>
      <c r="G157" s="15"/>
      <c r="H157" s="15"/>
      <c r="I157" s="16"/>
      <c r="J157" s="16"/>
      <c r="K157" s="16"/>
      <c r="L157" s="16"/>
      <c r="M157" s="16"/>
      <c r="N157" s="16"/>
      <c r="O157" s="16"/>
      <c r="P157" s="16"/>
      <c r="Q157" s="16"/>
      <c r="R157" s="17"/>
      <c r="S157" s="17"/>
      <c r="T157" s="17"/>
      <c r="U157" s="17"/>
      <c r="V157" s="17"/>
      <c r="W157" s="17"/>
      <c r="X157" s="17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9"/>
    </row>
    <row r="158" spans="1:37" ht="20.100000000000001" customHeight="1" x14ac:dyDescent="0.3">
      <c r="A158" s="20">
        <v>146</v>
      </c>
      <c r="B158" s="15"/>
      <c r="C158" s="15"/>
      <c r="D158" s="15"/>
      <c r="E158" s="15"/>
      <c r="F158" s="15"/>
      <c r="G158" s="15"/>
      <c r="H158" s="15"/>
      <c r="I158" s="16"/>
      <c r="J158" s="16"/>
      <c r="K158" s="16"/>
      <c r="L158" s="16"/>
      <c r="M158" s="16"/>
      <c r="N158" s="16"/>
      <c r="O158" s="16"/>
      <c r="P158" s="16"/>
      <c r="Q158" s="16"/>
      <c r="R158" s="17"/>
      <c r="S158" s="17"/>
      <c r="T158" s="17"/>
      <c r="U158" s="17"/>
      <c r="V158" s="17"/>
      <c r="W158" s="17"/>
      <c r="X158" s="17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9"/>
    </row>
    <row r="159" spans="1:37" ht="20.100000000000001" customHeight="1" x14ac:dyDescent="0.3">
      <c r="A159" s="20">
        <v>147</v>
      </c>
      <c r="B159" s="15"/>
      <c r="C159" s="15"/>
      <c r="D159" s="15"/>
      <c r="E159" s="15"/>
      <c r="F159" s="15"/>
      <c r="G159" s="15"/>
      <c r="H159" s="15"/>
      <c r="I159" s="16"/>
      <c r="J159" s="16"/>
      <c r="K159" s="16"/>
      <c r="L159" s="16"/>
      <c r="M159" s="16"/>
      <c r="N159" s="16"/>
      <c r="O159" s="16"/>
      <c r="P159" s="16"/>
      <c r="Q159" s="16"/>
      <c r="R159" s="17"/>
      <c r="S159" s="17"/>
      <c r="T159" s="17"/>
      <c r="U159" s="17"/>
      <c r="V159" s="17"/>
      <c r="W159" s="17"/>
      <c r="X159" s="17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9"/>
    </row>
    <row r="160" spans="1:37" ht="20.100000000000001" customHeight="1" x14ac:dyDescent="0.3">
      <c r="A160" s="20">
        <v>148</v>
      </c>
      <c r="B160" s="15"/>
      <c r="C160" s="15"/>
      <c r="D160" s="15"/>
      <c r="E160" s="15"/>
      <c r="F160" s="15"/>
      <c r="G160" s="15"/>
      <c r="H160" s="15"/>
      <c r="I160" s="16"/>
      <c r="J160" s="16"/>
      <c r="K160" s="16"/>
      <c r="L160" s="16"/>
      <c r="M160" s="16"/>
      <c r="N160" s="16"/>
      <c r="O160" s="16"/>
      <c r="P160" s="16"/>
      <c r="Q160" s="16"/>
      <c r="R160" s="17"/>
      <c r="S160" s="17"/>
      <c r="T160" s="17"/>
      <c r="U160" s="17"/>
      <c r="V160" s="17"/>
      <c r="W160" s="17"/>
      <c r="X160" s="17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9"/>
    </row>
    <row r="161" spans="1:37" ht="20.100000000000001" customHeight="1" x14ac:dyDescent="0.3">
      <c r="A161" s="20">
        <v>149</v>
      </c>
      <c r="B161" s="15"/>
      <c r="C161" s="15"/>
      <c r="D161" s="15"/>
      <c r="E161" s="15"/>
      <c r="F161" s="15"/>
      <c r="G161" s="15"/>
      <c r="H161" s="15"/>
      <c r="I161" s="16"/>
      <c r="J161" s="16"/>
      <c r="K161" s="16"/>
      <c r="L161" s="16"/>
      <c r="M161" s="16"/>
      <c r="N161" s="16"/>
      <c r="O161" s="16"/>
      <c r="P161" s="16"/>
      <c r="Q161" s="16"/>
      <c r="R161" s="17"/>
      <c r="S161" s="17"/>
      <c r="T161" s="17"/>
      <c r="U161" s="17"/>
      <c r="V161" s="17"/>
      <c r="W161" s="17"/>
      <c r="X161" s="17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9"/>
    </row>
    <row r="162" spans="1:37" ht="20.100000000000001" customHeight="1" x14ac:dyDescent="0.3">
      <c r="A162" s="20">
        <v>150</v>
      </c>
      <c r="B162" s="15"/>
      <c r="C162" s="15"/>
      <c r="D162" s="15"/>
      <c r="E162" s="15"/>
      <c r="F162" s="15"/>
      <c r="G162" s="15"/>
      <c r="H162" s="15"/>
      <c r="I162" s="16"/>
      <c r="J162" s="16"/>
      <c r="K162" s="16"/>
      <c r="L162" s="16"/>
      <c r="M162" s="16"/>
      <c r="N162" s="16"/>
      <c r="O162" s="16"/>
      <c r="P162" s="16"/>
      <c r="Q162" s="16"/>
      <c r="R162" s="17"/>
      <c r="S162" s="17"/>
      <c r="T162" s="17"/>
      <c r="U162" s="17"/>
      <c r="V162" s="17"/>
      <c r="W162" s="17"/>
      <c r="X162" s="17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9"/>
    </row>
    <row r="163" spans="1:37" ht="20.100000000000001" customHeight="1" x14ac:dyDescent="0.3">
      <c r="A163" s="20">
        <v>151</v>
      </c>
      <c r="B163" s="15"/>
      <c r="C163" s="15"/>
      <c r="D163" s="15"/>
      <c r="E163" s="15"/>
      <c r="F163" s="15"/>
      <c r="G163" s="15"/>
      <c r="H163" s="15"/>
      <c r="I163" s="16"/>
      <c r="J163" s="16"/>
      <c r="K163" s="16"/>
      <c r="L163" s="16"/>
      <c r="M163" s="16"/>
      <c r="N163" s="16"/>
      <c r="O163" s="16"/>
      <c r="P163" s="16"/>
      <c r="Q163" s="16"/>
      <c r="R163" s="17"/>
      <c r="S163" s="17"/>
      <c r="T163" s="17"/>
      <c r="U163" s="17"/>
      <c r="V163" s="17"/>
      <c r="W163" s="17"/>
      <c r="X163" s="17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9"/>
    </row>
    <row r="164" spans="1:37" ht="20.100000000000001" customHeight="1" x14ac:dyDescent="0.3">
      <c r="A164" s="20">
        <v>152</v>
      </c>
      <c r="B164" s="15"/>
      <c r="C164" s="15"/>
      <c r="D164" s="15"/>
      <c r="E164" s="15"/>
      <c r="F164" s="15"/>
      <c r="G164" s="15"/>
      <c r="H164" s="15"/>
      <c r="I164" s="16"/>
      <c r="J164" s="16"/>
      <c r="K164" s="16"/>
      <c r="L164" s="16"/>
      <c r="M164" s="16"/>
      <c r="N164" s="16"/>
      <c r="O164" s="16"/>
      <c r="P164" s="16"/>
      <c r="Q164" s="16"/>
      <c r="R164" s="17"/>
      <c r="S164" s="17"/>
      <c r="T164" s="17"/>
      <c r="U164" s="17"/>
      <c r="V164" s="17"/>
      <c r="W164" s="17"/>
      <c r="X164" s="17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9"/>
    </row>
    <row r="165" spans="1:37" ht="20.100000000000001" customHeight="1" x14ac:dyDescent="0.3">
      <c r="A165" s="20">
        <v>153</v>
      </c>
      <c r="B165" s="15"/>
      <c r="C165" s="15"/>
      <c r="D165" s="15"/>
      <c r="E165" s="15"/>
      <c r="F165" s="15"/>
      <c r="G165" s="15"/>
      <c r="H165" s="15"/>
      <c r="I165" s="16"/>
      <c r="J165" s="16"/>
      <c r="K165" s="16"/>
      <c r="L165" s="16"/>
      <c r="M165" s="16"/>
      <c r="N165" s="16"/>
      <c r="O165" s="16"/>
      <c r="P165" s="16"/>
      <c r="Q165" s="16"/>
      <c r="R165" s="17"/>
      <c r="S165" s="17"/>
      <c r="T165" s="17"/>
      <c r="U165" s="17"/>
      <c r="V165" s="17"/>
      <c r="W165" s="17"/>
      <c r="X165" s="17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9"/>
    </row>
    <row r="166" spans="1:37" ht="20.100000000000001" customHeight="1" x14ac:dyDescent="0.3">
      <c r="A166" s="20">
        <v>154</v>
      </c>
      <c r="B166" s="15"/>
      <c r="C166" s="15"/>
      <c r="D166" s="15"/>
      <c r="E166" s="15"/>
      <c r="F166" s="15"/>
      <c r="G166" s="15"/>
      <c r="H166" s="15"/>
      <c r="I166" s="16"/>
      <c r="J166" s="16"/>
      <c r="K166" s="16"/>
      <c r="L166" s="16"/>
      <c r="M166" s="16"/>
      <c r="N166" s="16"/>
      <c r="O166" s="16"/>
      <c r="P166" s="16"/>
      <c r="Q166" s="16"/>
      <c r="R166" s="17"/>
      <c r="S166" s="17"/>
      <c r="T166" s="17"/>
      <c r="U166" s="17"/>
      <c r="V166" s="17"/>
      <c r="W166" s="17"/>
      <c r="X166" s="17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9"/>
    </row>
    <row r="167" spans="1:37" ht="20.100000000000001" customHeight="1" x14ac:dyDescent="0.3">
      <c r="A167" s="20">
        <v>155</v>
      </c>
      <c r="B167" s="15"/>
      <c r="C167" s="15"/>
      <c r="D167" s="15"/>
      <c r="E167" s="15"/>
      <c r="F167" s="15"/>
      <c r="G167" s="15"/>
      <c r="H167" s="15"/>
      <c r="I167" s="16"/>
      <c r="J167" s="16"/>
      <c r="K167" s="16"/>
      <c r="L167" s="16"/>
      <c r="M167" s="16"/>
      <c r="N167" s="16"/>
      <c r="O167" s="16"/>
      <c r="P167" s="16"/>
      <c r="Q167" s="16"/>
      <c r="R167" s="17"/>
      <c r="S167" s="17"/>
      <c r="T167" s="17"/>
      <c r="U167" s="17"/>
      <c r="V167" s="17"/>
      <c r="W167" s="17"/>
      <c r="X167" s="17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9"/>
    </row>
    <row r="168" spans="1:37" ht="20.100000000000001" customHeight="1" x14ac:dyDescent="0.3">
      <c r="A168" s="20">
        <v>156</v>
      </c>
      <c r="B168" s="15"/>
      <c r="C168" s="15"/>
      <c r="D168" s="15"/>
      <c r="E168" s="15"/>
      <c r="F168" s="15"/>
      <c r="G168" s="15"/>
      <c r="H168" s="15"/>
      <c r="I168" s="16"/>
      <c r="J168" s="16"/>
      <c r="K168" s="16"/>
      <c r="L168" s="16"/>
      <c r="M168" s="16"/>
      <c r="N168" s="16"/>
      <c r="O168" s="16"/>
      <c r="P168" s="16"/>
      <c r="Q168" s="16"/>
      <c r="R168" s="17"/>
      <c r="S168" s="17"/>
      <c r="T168" s="17"/>
      <c r="U168" s="17"/>
      <c r="V168" s="17"/>
      <c r="W168" s="17"/>
      <c r="X168" s="17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9"/>
    </row>
    <row r="169" spans="1:37" ht="20.100000000000001" customHeight="1" x14ac:dyDescent="0.3">
      <c r="A169" s="20">
        <v>157</v>
      </c>
      <c r="B169" s="15"/>
      <c r="C169" s="15"/>
      <c r="D169" s="15"/>
      <c r="E169" s="15"/>
      <c r="F169" s="15"/>
      <c r="G169" s="15"/>
      <c r="H169" s="15"/>
      <c r="I169" s="16"/>
      <c r="J169" s="16"/>
      <c r="K169" s="16"/>
      <c r="L169" s="16"/>
      <c r="M169" s="16"/>
      <c r="N169" s="16"/>
      <c r="O169" s="16"/>
      <c r="P169" s="16"/>
      <c r="Q169" s="16"/>
      <c r="R169" s="17"/>
      <c r="S169" s="17"/>
      <c r="T169" s="17"/>
      <c r="U169" s="17"/>
      <c r="V169" s="17"/>
      <c r="W169" s="17"/>
      <c r="X169" s="17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9"/>
    </row>
    <row r="170" spans="1:37" ht="20.100000000000001" customHeight="1" x14ac:dyDescent="0.3">
      <c r="A170" s="20">
        <v>158</v>
      </c>
      <c r="B170" s="15"/>
      <c r="C170" s="15"/>
      <c r="D170" s="15"/>
      <c r="E170" s="15"/>
      <c r="F170" s="15"/>
      <c r="G170" s="15"/>
      <c r="H170" s="15"/>
      <c r="I170" s="16"/>
      <c r="J170" s="16"/>
      <c r="K170" s="16"/>
      <c r="L170" s="16"/>
      <c r="M170" s="16"/>
      <c r="N170" s="16"/>
      <c r="O170" s="16"/>
      <c r="P170" s="16"/>
      <c r="Q170" s="16"/>
      <c r="R170" s="17"/>
      <c r="S170" s="17"/>
      <c r="T170" s="17"/>
      <c r="U170" s="17"/>
      <c r="V170" s="17"/>
      <c r="W170" s="17"/>
      <c r="X170" s="17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9"/>
    </row>
    <row r="171" spans="1:37" ht="20.100000000000001" customHeight="1" x14ac:dyDescent="0.3">
      <c r="A171" s="20">
        <v>159</v>
      </c>
      <c r="B171" s="15"/>
      <c r="C171" s="15"/>
      <c r="D171" s="15"/>
      <c r="E171" s="15"/>
      <c r="F171" s="15"/>
      <c r="G171" s="15"/>
      <c r="H171" s="15"/>
      <c r="I171" s="16"/>
      <c r="J171" s="16"/>
      <c r="K171" s="16"/>
      <c r="L171" s="16"/>
      <c r="M171" s="16"/>
      <c r="N171" s="16"/>
      <c r="O171" s="16"/>
      <c r="P171" s="16"/>
      <c r="Q171" s="16"/>
      <c r="R171" s="17"/>
      <c r="S171" s="17"/>
      <c r="T171" s="17"/>
      <c r="U171" s="17"/>
      <c r="V171" s="17"/>
      <c r="W171" s="17"/>
      <c r="X171" s="17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9"/>
    </row>
    <row r="172" spans="1:37" ht="20.100000000000001" customHeight="1" x14ac:dyDescent="0.3">
      <c r="A172" s="20">
        <v>160</v>
      </c>
      <c r="B172" s="15"/>
      <c r="C172" s="15"/>
      <c r="D172" s="15"/>
      <c r="E172" s="15"/>
      <c r="F172" s="15"/>
      <c r="G172" s="15"/>
      <c r="H172" s="15"/>
      <c r="I172" s="16"/>
      <c r="J172" s="16"/>
      <c r="K172" s="16"/>
      <c r="L172" s="16"/>
      <c r="M172" s="16"/>
      <c r="N172" s="16"/>
      <c r="O172" s="16"/>
      <c r="P172" s="16"/>
      <c r="Q172" s="16"/>
      <c r="R172" s="17"/>
      <c r="S172" s="17"/>
      <c r="T172" s="17"/>
      <c r="U172" s="17"/>
      <c r="V172" s="17"/>
      <c r="W172" s="17"/>
      <c r="X172" s="17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9"/>
    </row>
    <row r="173" spans="1:37" ht="20.100000000000001" customHeight="1" x14ac:dyDescent="0.3">
      <c r="A173" s="20">
        <v>161</v>
      </c>
      <c r="B173" s="15"/>
      <c r="C173" s="15"/>
      <c r="D173" s="15"/>
      <c r="E173" s="15"/>
      <c r="F173" s="15"/>
      <c r="G173" s="15"/>
      <c r="H173" s="15"/>
      <c r="I173" s="16"/>
      <c r="J173" s="16"/>
      <c r="K173" s="16"/>
      <c r="L173" s="16"/>
      <c r="M173" s="16"/>
      <c r="N173" s="16"/>
      <c r="O173" s="16"/>
      <c r="P173" s="16"/>
      <c r="Q173" s="16"/>
      <c r="R173" s="17"/>
      <c r="S173" s="17"/>
      <c r="T173" s="17"/>
      <c r="U173" s="17"/>
      <c r="V173" s="17"/>
      <c r="W173" s="17"/>
      <c r="X173" s="17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9"/>
    </row>
    <row r="174" spans="1:37" ht="20.100000000000001" customHeight="1" x14ac:dyDescent="0.3">
      <c r="A174" s="20">
        <v>162</v>
      </c>
      <c r="B174" s="15"/>
      <c r="C174" s="15"/>
      <c r="D174" s="15"/>
      <c r="E174" s="15"/>
      <c r="F174" s="15"/>
      <c r="G174" s="15"/>
      <c r="H174" s="15"/>
      <c r="I174" s="16"/>
      <c r="J174" s="16"/>
      <c r="K174" s="16"/>
      <c r="L174" s="16"/>
      <c r="M174" s="16"/>
      <c r="N174" s="16"/>
      <c r="O174" s="16"/>
      <c r="P174" s="16"/>
      <c r="Q174" s="16"/>
      <c r="R174" s="17"/>
      <c r="S174" s="17"/>
      <c r="T174" s="17"/>
      <c r="U174" s="17"/>
      <c r="V174" s="17"/>
      <c r="W174" s="17"/>
      <c r="X174" s="17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9"/>
    </row>
    <row r="175" spans="1:37" ht="20.100000000000001" customHeight="1" x14ac:dyDescent="0.3">
      <c r="A175" s="20">
        <v>163</v>
      </c>
      <c r="B175" s="15"/>
      <c r="C175" s="15"/>
      <c r="D175" s="15"/>
      <c r="E175" s="15"/>
      <c r="F175" s="15"/>
      <c r="G175" s="15"/>
      <c r="H175" s="15"/>
      <c r="I175" s="16"/>
      <c r="J175" s="16"/>
      <c r="K175" s="16"/>
      <c r="L175" s="16"/>
      <c r="M175" s="16"/>
      <c r="N175" s="16"/>
      <c r="O175" s="16"/>
      <c r="P175" s="16"/>
      <c r="Q175" s="16"/>
      <c r="R175" s="17"/>
      <c r="S175" s="17"/>
      <c r="T175" s="17"/>
      <c r="U175" s="17"/>
      <c r="V175" s="17"/>
      <c r="W175" s="17"/>
      <c r="X175" s="17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9"/>
    </row>
    <row r="176" spans="1:37" ht="20.100000000000001" customHeight="1" x14ac:dyDescent="0.3">
      <c r="A176" s="20">
        <v>164</v>
      </c>
      <c r="B176" s="15"/>
      <c r="C176" s="15"/>
      <c r="D176" s="15"/>
      <c r="E176" s="15"/>
      <c r="F176" s="15"/>
      <c r="G176" s="15"/>
      <c r="H176" s="15"/>
      <c r="I176" s="16"/>
      <c r="J176" s="16"/>
      <c r="K176" s="16"/>
      <c r="L176" s="16"/>
      <c r="M176" s="16"/>
      <c r="N176" s="16"/>
      <c r="O176" s="16"/>
      <c r="P176" s="16"/>
      <c r="Q176" s="16"/>
      <c r="R176" s="17"/>
      <c r="S176" s="17"/>
      <c r="T176" s="17"/>
      <c r="U176" s="17"/>
      <c r="V176" s="17"/>
      <c r="W176" s="17"/>
      <c r="X176" s="17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9"/>
    </row>
    <row r="177" spans="1:37" ht="20.100000000000001" customHeight="1" x14ac:dyDescent="0.3">
      <c r="A177" s="20">
        <v>165</v>
      </c>
      <c r="B177" s="15"/>
      <c r="C177" s="15"/>
      <c r="D177" s="15"/>
      <c r="E177" s="15"/>
      <c r="F177" s="15"/>
      <c r="G177" s="15"/>
      <c r="H177" s="15"/>
      <c r="I177" s="16"/>
      <c r="J177" s="16"/>
      <c r="K177" s="16"/>
      <c r="L177" s="16"/>
      <c r="M177" s="16"/>
      <c r="N177" s="16"/>
      <c r="O177" s="16"/>
      <c r="P177" s="16"/>
      <c r="Q177" s="16"/>
      <c r="R177" s="17"/>
      <c r="S177" s="17"/>
      <c r="T177" s="17"/>
      <c r="U177" s="17"/>
      <c r="V177" s="17"/>
      <c r="W177" s="17"/>
      <c r="X177" s="17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9"/>
    </row>
    <row r="178" spans="1:37" ht="20.100000000000001" customHeight="1" x14ac:dyDescent="0.3">
      <c r="A178" s="20">
        <v>166</v>
      </c>
      <c r="B178" s="15"/>
      <c r="C178" s="15"/>
      <c r="D178" s="15"/>
      <c r="E178" s="15"/>
      <c r="F178" s="15"/>
      <c r="G178" s="15"/>
      <c r="H178" s="15"/>
      <c r="I178" s="16"/>
      <c r="J178" s="16"/>
      <c r="K178" s="16"/>
      <c r="L178" s="16"/>
      <c r="M178" s="16"/>
      <c r="N178" s="16"/>
      <c r="O178" s="16"/>
      <c r="P178" s="16"/>
      <c r="Q178" s="16"/>
      <c r="R178" s="17"/>
      <c r="S178" s="17"/>
      <c r="T178" s="17"/>
      <c r="U178" s="17"/>
      <c r="V178" s="17"/>
      <c r="W178" s="17"/>
      <c r="X178" s="17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9"/>
    </row>
    <row r="179" spans="1:37" ht="20.100000000000001" customHeight="1" x14ac:dyDescent="0.3">
      <c r="A179" s="20">
        <v>167</v>
      </c>
      <c r="B179" s="15"/>
      <c r="C179" s="15"/>
      <c r="D179" s="15"/>
      <c r="E179" s="15"/>
      <c r="F179" s="15"/>
      <c r="G179" s="15"/>
      <c r="H179" s="15"/>
      <c r="I179" s="16"/>
      <c r="J179" s="16"/>
      <c r="K179" s="16"/>
      <c r="L179" s="16"/>
      <c r="M179" s="16"/>
      <c r="N179" s="16"/>
      <c r="O179" s="16"/>
      <c r="P179" s="16"/>
      <c r="Q179" s="16"/>
      <c r="R179" s="17"/>
      <c r="S179" s="17"/>
      <c r="T179" s="17"/>
      <c r="U179" s="17"/>
      <c r="V179" s="17"/>
      <c r="W179" s="17"/>
      <c r="X179" s="17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9"/>
    </row>
    <row r="180" spans="1:37" ht="20.100000000000001" customHeight="1" x14ac:dyDescent="0.3">
      <c r="A180" s="20">
        <v>168</v>
      </c>
      <c r="B180" s="15"/>
      <c r="C180" s="15"/>
      <c r="D180" s="15"/>
      <c r="E180" s="15"/>
      <c r="F180" s="15"/>
      <c r="G180" s="15"/>
      <c r="H180" s="15"/>
      <c r="I180" s="16"/>
      <c r="J180" s="16"/>
      <c r="K180" s="16"/>
      <c r="L180" s="16"/>
      <c r="M180" s="16"/>
      <c r="N180" s="16"/>
      <c r="O180" s="16"/>
      <c r="P180" s="16"/>
      <c r="Q180" s="16"/>
      <c r="R180" s="17"/>
      <c r="S180" s="17"/>
      <c r="T180" s="17"/>
      <c r="U180" s="17"/>
      <c r="V180" s="17"/>
      <c r="W180" s="17"/>
      <c r="X180" s="17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9"/>
    </row>
    <row r="181" spans="1:37" ht="20.100000000000001" customHeight="1" x14ac:dyDescent="0.3">
      <c r="A181" s="20">
        <v>169</v>
      </c>
      <c r="B181" s="15"/>
      <c r="C181" s="15"/>
      <c r="D181" s="15"/>
      <c r="E181" s="15"/>
      <c r="F181" s="15"/>
      <c r="G181" s="15"/>
      <c r="H181" s="15"/>
      <c r="I181" s="16"/>
      <c r="J181" s="16"/>
      <c r="K181" s="16"/>
      <c r="L181" s="16"/>
      <c r="M181" s="16"/>
      <c r="N181" s="16"/>
      <c r="O181" s="16"/>
      <c r="P181" s="16"/>
      <c r="Q181" s="16"/>
      <c r="R181" s="17"/>
      <c r="S181" s="17"/>
      <c r="T181" s="17"/>
      <c r="U181" s="17"/>
      <c r="V181" s="17"/>
      <c r="W181" s="17"/>
      <c r="X181" s="17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9"/>
    </row>
    <row r="182" spans="1:37" ht="20.100000000000001" customHeight="1" x14ac:dyDescent="0.3">
      <c r="A182" s="20">
        <v>170</v>
      </c>
      <c r="B182" s="15"/>
      <c r="C182" s="15"/>
      <c r="D182" s="15"/>
      <c r="E182" s="15"/>
      <c r="F182" s="15"/>
      <c r="G182" s="15"/>
      <c r="H182" s="15"/>
      <c r="I182" s="16"/>
      <c r="J182" s="16"/>
      <c r="K182" s="16"/>
      <c r="L182" s="16"/>
      <c r="M182" s="16"/>
      <c r="N182" s="16"/>
      <c r="O182" s="16"/>
      <c r="P182" s="16"/>
      <c r="Q182" s="16"/>
      <c r="R182" s="17"/>
      <c r="S182" s="17"/>
      <c r="T182" s="17"/>
      <c r="U182" s="17"/>
      <c r="V182" s="17"/>
      <c r="W182" s="17"/>
      <c r="X182" s="17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9"/>
    </row>
    <row r="183" spans="1:37" ht="20.100000000000001" customHeight="1" x14ac:dyDescent="0.3">
      <c r="A183" s="20">
        <v>171</v>
      </c>
      <c r="B183" s="15"/>
      <c r="C183" s="15"/>
      <c r="D183" s="15"/>
      <c r="E183" s="15"/>
      <c r="F183" s="15"/>
      <c r="G183" s="15"/>
      <c r="H183" s="15"/>
      <c r="I183" s="16"/>
      <c r="J183" s="16"/>
      <c r="K183" s="16"/>
      <c r="L183" s="16"/>
      <c r="M183" s="16"/>
      <c r="N183" s="16"/>
      <c r="O183" s="16"/>
      <c r="P183" s="16"/>
      <c r="Q183" s="16"/>
      <c r="R183" s="17"/>
      <c r="S183" s="17"/>
      <c r="T183" s="17"/>
      <c r="U183" s="17"/>
      <c r="V183" s="17"/>
      <c r="W183" s="17"/>
      <c r="X183" s="17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9"/>
    </row>
    <row r="184" spans="1:37" ht="20.100000000000001" customHeight="1" x14ac:dyDescent="0.3">
      <c r="A184" s="20">
        <v>172</v>
      </c>
      <c r="B184" s="15"/>
      <c r="C184" s="15"/>
      <c r="D184" s="15"/>
      <c r="E184" s="15"/>
      <c r="F184" s="15"/>
      <c r="G184" s="15"/>
      <c r="H184" s="15"/>
      <c r="I184" s="16"/>
      <c r="J184" s="16"/>
      <c r="K184" s="16"/>
      <c r="L184" s="16"/>
      <c r="M184" s="16"/>
      <c r="N184" s="16"/>
      <c r="O184" s="16"/>
      <c r="P184" s="16"/>
      <c r="Q184" s="16"/>
      <c r="R184" s="17"/>
      <c r="S184" s="17"/>
      <c r="T184" s="17"/>
      <c r="U184" s="17"/>
      <c r="V184" s="17"/>
      <c r="W184" s="17"/>
      <c r="X184" s="17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9"/>
    </row>
    <row r="185" spans="1:37" ht="20.100000000000001" customHeight="1" x14ac:dyDescent="0.3">
      <c r="A185" s="20">
        <v>173</v>
      </c>
      <c r="B185" s="15"/>
      <c r="C185" s="15"/>
      <c r="D185" s="15"/>
      <c r="E185" s="15"/>
      <c r="F185" s="15"/>
      <c r="G185" s="15"/>
      <c r="H185" s="15"/>
      <c r="I185" s="16"/>
      <c r="J185" s="16"/>
      <c r="K185" s="16"/>
      <c r="L185" s="16"/>
      <c r="M185" s="16"/>
      <c r="N185" s="16"/>
      <c r="O185" s="16"/>
      <c r="P185" s="16"/>
      <c r="Q185" s="16"/>
      <c r="R185" s="17"/>
      <c r="S185" s="17"/>
      <c r="T185" s="17"/>
      <c r="U185" s="17"/>
      <c r="V185" s="17"/>
      <c r="W185" s="17"/>
      <c r="X185" s="17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9"/>
    </row>
    <row r="186" spans="1:37" ht="20.100000000000001" customHeight="1" x14ac:dyDescent="0.3">
      <c r="A186" s="20">
        <v>174</v>
      </c>
      <c r="B186" s="15"/>
      <c r="C186" s="15"/>
      <c r="D186" s="15"/>
      <c r="E186" s="15"/>
      <c r="F186" s="15"/>
      <c r="G186" s="15"/>
      <c r="H186" s="15"/>
      <c r="I186" s="16"/>
      <c r="J186" s="16"/>
      <c r="K186" s="16"/>
      <c r="L186" s="16"/>
      <c r="M186" s="16"/>
      <c r="N186" s="16"/>
      <c r="O186" s="16"/>
      <c r="P186" s="16"/>
      <c r="Q186" s="16"/>
      <c r="R186" s="17"/>
      <c r="S186" s="17"/>
      <c r="T186" s="17"/>
      <c r="U186" s="17"/>
      <c r="V186" s="17"/>
      <c r="W186" s="17"/>
      <c r="X186" s="17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9"/>
    </row>
    <row r="187" spans="1:37" ht="20.100000000000001" customHeight="1" x14ac:dyDescent="0.3">
      <c r="A187" s="20">
        <v>175</v>
      </c>
      <c r="B187" s="15"/>
      <c r="C187" s="15"/>
      <c r="D187" s="15"/>
      <c r="E187" s="15"/>
      <c r="F187" s="15"/>
      <c r="G187" s="15"/>
      <c r="H187" s="15"/>
      <c r="I187" s="16"/>
      <c r="J187" s="16"/>
      <c r="K187" s="16"/>
      <c r="L187" s="16"/>
      <c r="M187" s="16"/>
      <c r="N187" s="16"/>
      <c r="O187" s="16"/>
      <c r="P187" s="16"/>
      <c r="Q187" s="16"/>
      <c r="R187" s="17"/>
      <c r="S187" s="17"/>
      <c r="T187" s="17"/>
      <c r="U187" s="17"/>
      <c r="V187" s="17"/>
      <c r="W187" s="17"/>
      <c r="X187" s="17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9"/>
    </row>
    <row r="188" spans="1:37" ht="20.100000000000001" customHeight="1" x14ac:dyDescent="0.3">
      <c r="A188" s="20">
        <v>176</v>
      </c>
      <c r="B188" s="15"/>
      <c r="C188" s="15"/>
      <c r="D188" s="15"/>
      <c r="E188" s="15"/>
      <c r="F188" s="15"/>
      <c r="G188" s="15"/>
      <c r="H188" s="15"/>
      <c r="I188" s="16"/>
      <c r="J188" s="16"/>
      <c r="K188" s="16"/>
      <c r="L188" s="16"/>
      <c r="M188" s="16"/>
      <c r="N188" s="16"/>
      <c r="O188" s="16"/>
      <c r="P188" s="16"/>
      <c r="Q188" s="16"/>
      <c r="R188" s="17"/>
      <c r="S188" s="17"/>
      <c r="T188" s="17"/>
      <c r="U188" s="17"/>
      <c r="V188" s="17"/>
      <c r="W188" s="17"/>
      <c r="X188" s="17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9"/>
    </row>
    <row r="189" spans="1:37" ht="20.100000000000001" customHeight="1" x14ac:dyDescent="0.3">
      <c r="A189" s="20">
        <v>177</v>
      </c>
      <c r="B189" s="15"/>
      <c r="C189" s="15"/>
      <c r="D189" s="15"/>
      <c r="E189" s="15"/>
      <c r="F189" s="15"/>
      <c r="G189" s="15"/>
      <c r="H189" s="15"/>
      <c r="I189" s="16"/>
      <c r="J189" s="16"/>
      <c r="K189" s="16"/>
      <c r="L189" s="16"/>
      <c r="M189" s="16"/>
      <c r="N189" s="16"/>
      <c r="O189" s="16"/>
      <c r="P189" s="16"/>
      <c r="Q189" s="16"/>
      <c r="R189" s="17"/>
      <c r="S189" s="17"/>
      <c r="T189" s="17"/>
      <c r="U189" s="17"/>
      <c r="V189" s="17"/>
      <c r="W189" s="17"/>
      <c r="X189" s="17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9"/>
    </row>
    <row r="190" spans="1:37" ht="20.100000000000001" customHeight="1" x14ac:dyDescent="0.3">
      <c r="A190" s="20">
        <v>178</v>
      </c>
      <c r="B190" s="15"/>
      <c r="C190" s="15"/>
      <c r="D190" s="15"/>
      <c r="E190" s="15"/>
      <c r="F190" s="15"/>
      <c r="G190" s="15"/>
      <c r="H190" s="15"/>
      <c r="I190" s="16"/>
      <c r="J190" s="16"/>
      <c r="K190" s="16"/>
      <c r="L190" s="16"/>
      <c r="M190" s="16"/>
      <c r="N190" s="16"/>
      <c r="O190" s="16"/>
      <c r="P190" s="16"/>
      <c r="Q190" s="16"/>
      <c r="R190" s="17"/>
      <c r="S190" s="17"/>
      <c r="T190" s="17"/>
      <c r="U190" s="17"/>
      <c r="V190" s="17"/>
      <c r="W190" s="17"/>
      <c r="X190" s="17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9"/>
    </row>
    <row r="191" spans="1:37" ht="20.100000000000001" customHeight="1" x14ac:dyDescent="0.3">
      <c r="A191" s="20">
        <v>179</v>
      </c>
      <c r="B191" s="15"/>
      <c r="C191" s="15"/>
      <c r="D191" s="15"/>
      <c r="E191" s="15"/>
      <c r="F191" s="15"/>
      <c r="G191" s="15"/>
      <c r="H191" s="15"/>
      <c r="I191" s="16"/>
      <c r="J191" s="16"/>
      <c r="K191" s="16"/>
      <c r="L191" s="16"/>
      <c r="M191" s="16"/>
      <c r="N191" s="16"/>
      <c r="O191" s="16"/>
      <c r="P191" s="16"/>
      <c r="Q191" s="16"/>
      <c r="R191" s="17"/>
      <c r="S191" s="17"/>
      <c r="T191" s="17"/>
      <c r="U191" s="17"/>
      <c r="V191" s="17"/>
      <c r="W191" s="17"/>
      <c r="X191" s="17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9"/>
    </row>
    <row r="192" spans="1:37" ht="20.100000000000001" customHeight="1" x14ac:dyDescent="0.3">
      <c r="A192" s="20">
        <v>180</v>
      </c>
      <c r="B192" s="15"/>
      <c r="C192" s="15"/>
      <c r="D192" s="15"/>
      <c r="E192" s="15"/>
      <c r="F192" s="15"/>
      <c r="G192" s="15"/>
      <c r="H192" s="15"/>
      <c r="I192" s="16"/>
      <c r="J192" s="16"/>
      <c r="K192" s="16"/>
      <c r="L192" s="16"/>
      <c r="M192" s="16"/>
      <c r="N192" s="16"/>
      <c r="O192" s="16"/>
      <c r="P192" s="16"/>
      <c r="Q192" s="16"/>
      <c r="R192" s="17"/>
      <c r="S192" s="17"/>
      <c r="T192" s="17"/>
      <c r="U192" s="17"/>
      <c r="V192" s="17"/>
      <c r="W192" s="17"/>
      <c r="X192" s="17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9"/>
    </row>
    <row r="193" spans="1:37" ht="20.100000000000001" customHeight="1" x14ac:dyDescent="0.3">
      <c r="A193" s="20">
        <v>181</v>
      </c>
      <c r="B193" s="15"/>
      <c r="C193" s="15"/>
      <c r="D193" s="15"/>
      <c r="E193" s="15"/>
      <c r="F193" s="15"/>
      <c r="G193" s="15"/>
      <c r="H193" s="15"/>
      <c r="I193" s="16"/>
      <c r="J193" s="16"/>
      <c r="K193" s="16"/>
      <c r="L193" s="16"/>
      <c r="M193" s="16"/>
      <c r="N193" s="16"/>
      <c r="O193" s="16"/>
      <c r="P193" s="16"/>
      <c r="Q193" s="16"/>
      <c r="R193" s="17"/>
      <c r="S193" s="17"/>
      <c r="T193" s="17"/>
      <c r="U193" s="17"/>
      <c r="V193" s="17"/>
      <c r="W193" s="17"/>
      <c r="X193" s="17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9"/>
    </row>
    <row r="194" spans="1:37" ht="20.100000000000001" customHeight="1" x14ac:dyDescent="0.3">
      <c r="A194" s="20">
        <v>182</v>
      </c>
      <c r="B194" s="15"/>
      <c r="C194" s="15"/>
      <c r="D194" s="15"/>
      <c r="E194" s="15"/>
      <c r="F194" s="15"/>
      <c r="G194" s="15"/>
      <c r="H194" s="15"/>
      <c r="I194" s="16"/>
      <c r="J194" s="16"/>
      <c r="K194" s="16"/>
      <c r="L194" s="16"/>
      <c r="M194" s="16"/>
      <c r="N194" s="16"/>
      <c r="O194" s="16"/>
      <c r="P194" s="16"/>
      <c r="Q194" s="16"/>
      <c r="R194" s="17"/>
      <c r="S194" s="17"/>
      <c r="T194" s="17"/>
      <c r="U194" s="17"/>
      <c r="V194" s="17"/>
      <c r="W194" s="17"/>
      <c r="X194" s="17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9"/>
    </row>
    <row r="195" spans="1:37" ht="20.100000000000001" customHeight="1" x14ac:dyDescent="0.3">
      <c r="A195" s="20">
        <v>183</v>
      </c>
      <c r="B195" s="15"/>
      <c r="C195" s="15"/>
      <c r="D195" s="15"/>
      <c r="E195" s="15"/>
      <c r="F195" s="15"/>
      <c r="G195" s="15"/>
      <c r="H195" s="15"/>
      <c r="I195" s="16"/>
      <c r="J195" s="16"/>
      <c r="K195" s="16"/>
      <c r="L195" s="16"/>
      <c r="M195" s="16"/>
      <c r="N195" s="16"/>
      <c r="O195" s="16"/>
      <c r="P195" s="16"/>
      <c r="Q195" s="16"/>
      <c r="R195" s="17"/>
      <c r="S195" s="17"/>
      <c r="T195" s="17"/>
      <c r="U195" s="17"/>
      <c r="V195" s="17"/>
      <c r="W195" s="17"/>
      <c r="X195" s="17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9"/>
    </row>
    <row r="196" spans="1:37" ht="20.100000000000001" customHeight="1" x14ac:dyDescent="0.3">
      <c r="A196" s="20">
        <v>184</v>
      </c>
      <c r="B196" s="15"/>
      <c r="C196" s="15"/>
      <c r="D196" s="15"/>
      <c r="E196" s="15"/>
      <c r="F196" s="15"/>
      <c r="G196" s="15"/>
      <c r="H196" s="15"/>
      <c r="I196" s="16"/>
      <c r="J196" s="16"/>
      <c r="K196" s="16"/>
      <c r="L196" s="16"/>
      <c r="M196" s="16"/>
      <c r="N196" s="16"/>
      <c r="O196" s="16"/>
      <c r="P196" s="16"/>
      <c r="Q196" s="16"/>
      <c r="R196" s="17"/>
      <c r="S196" s="17"/>
      <c r="T196" s="17"/>
      <c r="U196" s="17"/>
      <c r="V196" s="17"/>
      <c r="W196" s="17"/>
      <c r="X196" s="17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9"/>
    </row>
    <row r="197" spans="1:37" ht="20.100000000000001" customHeight="1" x14ac:dyDescent="0.3">
      <c r="A197" s="20">
        <v>185</v>
      </c>
      <c r="B197" s="15"/>
      <c r="C197" s="15"/>
      <c r="D197" s="15"/>
      <c r="E197" s="15"/>
      <c r="F197" s="15"/>
      <c r="G197" s="15"/>
      <c r="H197" s="15"/>
      <c r="I197" s="16"/>
      <c r="J197" s="16"/>
      <c r="K197" s="16"/>
      <c r="L197" s="16"/>
      <c r="M197" s="16"/>
      <c r="N197" s="16"/>
      <c r="O197" s="16"/>
      <c r="P197" s="16"/>
      <c r="Q197" s="16"/>
      <c r="R197" s="17"/>
      <c r="S197" s="17"/>
      <c r="T197" s="17"/>
      <c r="U197" s="17"/>
      <c r="V197" s="17"/>
      <c r="W197" s="17"/>
      <c r="X197" s="17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9"/>
    </row>
    <row r="198" spans="1:37" ht="20.100000000000001" customHeight="1" x14ac:dyDescent="0.3">
      <c r="A198" s="20">
        <v>186</v>
      </c>
      <c r="B198" s="15"/>
      <c r="C198" s="15"/>
      <c r="D198" s="15"/>
      <c r="E198" s="15"/>
      <c r="F198" s="15"/>
      <c r="G198" s="15"/>
      <c r="H198" s="15"/>
      <c r="I198" s="16"/>
      <c r="J198" s="16"/>
      <c r="K198" s="16"/>
      <c r="L198" s="16"/>
      <c r="M198" s="16"/>
      <c r="N198" s="16"/>
      <c r="O198" s="16"/>
      <c r="P198" s="16"/>
      <c r="Q198" s="16"/>
      <c r="R198" s="17"/>
      <c r="S198" s="17"/>
      <c r="T198" s="17"/>
      <c r="U198" s="17"/>
      <c r="V198" s="17"/>
      <c r="W198" s="17"/>
      <c r="X198" s="17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9"/>
    </row>
    <row r="199" spans="1:37" ht="20.100000000000001" customHeight="1" x14ac:dyDescent="0.3">
      <c r="A199" s="20">
        <v>187</v>
      </c>
      <c r="B199" s="15"/>
      <c r="C199" s="15"/>
      <c r="D199" s="15"/>
      <c r="E199" s="15"/>
      <c r="F199" s="15"/>
      <c r="G199" s="15"/>
      <c r="H199" s="15"/>
      <c r="I199" s="16"/>
      <c r="J199" s="16"/>
      <c r="K199" s="16"/>
      <c r="L199" s="16"/>
      <c r="M199" s="16"/>
      <c r="N199" s="16"/>
      <c r="O199" s="16"/>
      <c r="P199" s="16"/>
      <c r="Q199" s="16"/>
      <c r="R199" s="17"/>
      <c r="S199" s="17"/>
      <c r="T199" s="17"/>
      <c r="U199" s="17"/>
      <c r="V199" s="17"/>
      <c r="W199" s="17"/>
      <c r="X199" s="17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9"/>
    </row>
    <row r="200" spans="1:37" ht="20.100000000000001" customHeight="1" x14ac:dyDescent="0.3">
      <c r="A200" s="20">
        <v>188</v>
      </c>
      <c r="B200" s="15"/>
      <c r="C200" s="15"/>
      <c r="D200" s="15"/>
      <c r="E200" s="15"/>
      <c r="F200" s="15"/>
      <c r="G200" s="15"/>
      <c r="H200" s="15"/>
      <c r="I200" s="16"/>
      <c r="J200" s="16"/>
      <c r="K200" s="16"/>
      <c r="L200" s="16"/>
      <c r="M200" s="16"/>
      <c r="N200" s="16"/>
      <c r="O200" s="16"/>
      <c r="P200" s="16"/>
      <c r="Q200" s="16"/>
      <c r="R200" s="17"/>
      <c r="S200" s="17"/>
      <c r="T200" s="17"/>
      <c r="U200" s="17"/>
      <c r="V200" s="17"/>
      <c r="W200" s="17"/>
      <c r="X200" s="17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9"/>
    </row>
    <row r="201" spans="1:37" ht="20.100000000000001" customHeight="1" x14ac:dyDescent="0.3">
      <c r="A201" s="20">
        <v>189</v>
      </c>
      <c r="B201" s="15"/>
      <c r="C201" s="15"/>
      <c r="D201" s="15"/>
      <c r="E201" s="15"/>
      <c r="F201" s="15"/>
      <c r="G201" s="15"/>
      <c r="H201" s="15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s="17"/>
      <c r="T201" s="17"/>
      <c r="U201" s="17"/>
      <c r="V201" s="17"/>
      <c r="W201" s="17"/>
      <c r="X201" s="17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9"/>
    </row>
    <row r="202" spans="1:37" ht="20.100000000000001" customHeight="1" x14ac:dyDescent="0.3">
      <c r="A202" s="20">
        <v>190</v>
      </c>
      <c r="B202" s="15"/>
      <c r="C202" s="15"/>
      <c r="D202" s="15"/>
      <c r="E202" s="15"/>
      <c r="F202" s="15"/>
      <c r="G202" s="15"/>
      <c r="H202" s="15"/>
      <c r="I202" s="16"/>
      <c r="J202" s="16"/>
      <c r="K202" s="16"/>
      <c r="L202" s="16"/>
      <c r="M202" s="16"/>
      <c r="N202" s="16"/>
      <c r="O202" s="16"/>
      <c r="P202" s="16"/>
      <c r="Q202" s="16"/>
      <c r="R202" s="17"/>
      <c r="S202" s="17"/>
      <c r="T202" s="17"/>
      <c r="U202" s="17"/>
      <c r="V202" s="17"/>
      <c r="W202" s="17"/>
      <c r="X202" s="17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9"/>
    </row>
    <row r="203" spans="1:37" ht="20.100000000000001" customHeight="1" x14ac:dyDescent="0.3">
      <c r="A203" s="20">
        <v>191</v>
      </c>
      <c r="B203" s="15"/>
      <c r="C203" s="15"/>
      <c r="D203" s="15"/>
      <c r="E203" s="15"/>
      <c r="F203" s="15"/>
      <c r="G203" s="15"/>
      <c r="H203" s="15"/>
      <c r="I203" s="16"/>
      <c r="J203" s="16"/>
      <c r="K203" s="16"/>
      <c r="L203" s="16"/>
      <c r="M203" s="16"/>
      <c r="N203" s="16"/>
      <c r="O203" s="16"/>
      <c r="P203" s="16"/>
      <c r="Q203" s="16"/>
      <c r="R203" s="17"/>
      <c r="S203" s="17"/>
      <c r="T203" s="17"/>
      <c r="U203" s="17"/>
      <c r="V203" s="17"/>
      <c r="W203" s="17"/>
      <c r="X203" s="17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9"/>
    </row>
    <row r="204" spans="1:37" ht="20.100000000000001" customHeight="1" x14ac:dyDescent="0.3">
      <c r="A204" s="20">
        <v>192</v>
      </c>
      <c r="B204" s="15"/>
      <c r="C204" s="15"/>
      <c r="D204" s="15"/>
      <c r="E204" s="15"/>
      <c r="F204" s="15"/>
      <c r="G204" s="15"/>
      <c r="H204" s="15"/>
      <c r="I204" s="16"/>
      <c r="J204" s="16"/>
      <c r="K204" s="16"/>
      <c r="L204" s="16"/>
      <c r="M204" s="16"/>
      <c r="N204" s="16"/>
      <c r="O204" s="16"/>
      <c r="P204" s="16"/>
      <c r="Q204" s="16"/>
      <c r="R204" s="17"/>
      <c r="S204" s="17"/>
      <c r="T204" s="17"/>
      <c r="U204" s="17"/>
      <c r="V204" s="17"/>
      <c r="W204" s="17"/>
      <c r="X204" s="17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9"/>
    </row>
    <row r="205" spans="1:37" ht="20.100000000000001" customHeight="1" x14ac:dyDescent="0.3">
      <c r="A205" s="20">
        <v>193</v>
      </c>
      <c r="B205" s="15"/>
      <c r="C205" s="15"/>
      <c r="D205" s="15"/>
      <c r="E205" s="15"/>
      <c r="F205" s="15"/>
      <c r="G205" s="15"/>
      <c r="H205" s="15"/>
      <c r="I205" s="16"/>
      <c r="J205" s="16"/>
      <c r="K205" s="16"/>
      <c r="L205" s="16"/>
      <c r="M205" s="16"/>
      <c r="N205" s="16"/>
      <c r="O205" s="16"/>
      <c r="P205" s="16"/>
      <c r="Q205" s="16"/>
      <c r="R205" s="17"/>
      <c r="S205" s="17"/>
      <c r="T205" s="17"/>
      <c r="U205" s="17"/>
      <c r="V205" s="17"/>
      <c r="W205" s="17"/>
      <c r="X205" s="17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9"/>
    </row>
    <row r="206" spans="1:37" ht="20.100000000000001" customHeight="1" x14ac:dyDescent="0.3">
      <c r="A206" s="20">
        <v>194</v>
      </c>
      <c r="B206" s="15"/>
      <c r="C206" s="15"/>
      <c r="D206" s="15"/>
      <c r="E206" s="15"/>
      <c r="F206" s="15"/>
      <c r="G206" s="15"/>
      <c r="H206" s="15"/>
      <c r="I206" s="16"/>
      <c r="J206" s="16"/>
      <c r="K206" s="16"/>
      <c r="L206" s="16"/>
      <c r="M206" s="16"/>
      <c r="N206" s="16"/>
      <c r="O206" s="16"/>
      <c r="P206" s="16"/>
      <c r="Q206" s="16"/>
      <c r="R206" s="17"/>
      <c r="S206" s="17"/>
      <c r="T206" s="17"/>
      <c r="U206" s="17"/>
      <c r="V206" s="17"/>
      <c r="W206" s="17"/>
      <c r="X206" s="17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9"/>
    </row>
    <row r="207" spans="1:37" ht="20.100000000000001" customHeight="1" x14ac:dyDescent="0.3">
      <c r="A207" s="20">
        <v>195</v>
      </c>
      <c r="B207" s="15"/>
      <c r="C207" s="15"/>
      <c r="D207" s="15"/>
      <c r="E207" s="15"/>
      <c r="F207" s="15"/>
      <c r="G207" s="15"/>
      <c r="H207" s="15"/>
      <c r="I207" s="16"/>
      <c r="J207" s="16"/>
      <c r="K207" s="16"/>
      <c r="L207" s="16"/>
      <c r="M207" s="16"/>
      <c r="N207" s="16"/>
      <c r="O207" s="16"/>
      <c r="P207" s="16"/>
      <c r="Q207" s="16"/>
      <c r="R207" s="17"/>
      <c r="S207" s="17"/>
      <c r="T207" s="17"/>
      <c r="U207" s="17"/>
      <c r="V207" s="17"/>
      <c r="W207" s="17"/>
      <c r="X207" s="17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9"/>
    </row>
    <row r="208" spans="1:37" ht="20.100000000000001" customHeight="1" x14ac:dyDescent="0.3">
      <c r="A208" s="20">
        <v>196</v>
      </c>
      <c r="B208" s="15"/>
      <c r="C208" s="15"/>
      <c r="D208" s="15"/>
      <c r="E208" s="15"/>
      <c r="F208" s="15"/>
      <c r="G208" s="15"/>
      <c r="H208" s="15"/>
      <c r="I208" s="16"/>
      <c r="J208" s="16"/>
      <c r="K208" s="16"/>
      <c r="L208" s="16"/>
      <c r="M208" s="16"/>
      <c r="N208" s="16"/>
      <c r="O208" s="16"/>
      <c r="P208" s="16"/>
      <c r="Q208" s="16"/>
      <c r="R208" s="17"/>
      <c r="S208" s="17"/>
      <c r="T208" s="17"/>
      <c r="U208" s="17"/>
      <c r="V208" s="17"/>
      <c r="W208" s="17"/>
      <c r="X208" s="17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9"/>
    </row>
    <row r="209" spans="1:37" ht="20.100000000000001" customHeight="1" x14ac:dyDescent="0.3">
      <c r="A209" s="20">
        <v>197</v>
      </c>
      <c r="B209" s="15"/>
      <c r="C209" s="15"/>
      <c r="D209" s="15"/>
      <c r="E209" s="15"/>
      <c r="F209" s="15"/>
      <c r="G209" s="15"/>
      <c r="H209" s="15"/>
      <c r="I209" s="16"/>
      <c r="J209" s="16"/>
      <c r="K209" s="16"/>
      <c r="L209" s="16"/>
      <c r="M209" s="16"/>
      <c r="N209" s="16"/>
      <c r="O209" s="16"/>
      <c r="P209" s="16"/>
      <c r="Q209" s="16"/>
      <c r="R209" s="17"/>
      <c r="S209" s="17"/>
      <c r="T209" s="17"/>
      <c r="U209" s="17"/>
      <c r="V209" s="17"/>
      <c r="W209" s="17"/>
      <c r="X209" s="17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9"/>
    </row>
    <row r="210" spans="1:37" ht="20.100000000000001" customHeight="1" x14ac:dyDescent="0.3">
      <c r="A210" s="20">
        <v>198</v>
      </c>
      <c r="B210" s="15"/>
      <c r="C210" s="15"/>
      <c r="D210" s="15"/>
      <c r="E210" s="15"/>
      <c r="F210" s="15"/>
      <c r="G210" s="15"/>
      <c r="H210" s="15"/>
      <c r="I210" s="16"/>
      <c r="J210" s="16"/>
      <c r="K210" s="16"/>
      <c r="L210" s="16"/>
      <c r="M210" s="16"/>
      <c r="N210" s="16"/>
      <c r="O210" s="16"/>
      <c r="P210" s="16"/>
      <c r="Q210" s="16"/>
      <c r="R210" s="17"/>
      <c r="S210" s="17"/>
      <c r="T210" s="17"/>
      <c r="U210" s="17"/>
      <c r="V210" s="17"/>
      <c r="W210" s="17"/>
      <c r="X210" s="17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9"/>
    </row>
    <row r="211" spans="1:37" ht="20.100000000000001" customHeight="1" x14ac:dyDescent="0.3">
      <c r="A211" s="20">
        <v>199</v>
      </c>
      <c r="B211" s="15"/>
      <c r="C211" s="15"/>
      <c r="D211" s="15"/>
      <c r="E211" s="15"/>
      <c r="F211" s="15"/>
      <c r="G211" s="15"/>
      <c r="H211" s="15"/>
      <c r="I211" s="16"/>
      <c r="J211" s="16"/>
      <c r="K211" s="16"/>
      <c r="L211" s="16"/>
      <c r="M211" s="16"/>
      <c r="N211" s="16"/>
      <c r="O211" s="16"/>
      <c r="P211" s="16"/>
      <c r="Q211" s="16"/>
      <c r="R211" s="17"/>
      <c r="S211" s="17"/>
      <c r="T211" s="17"/>
      <c r="U211" s="17"/>
      <c r="V211" s="17"/>
      <c r="W211" s="17"/>
      <c r="X211" s="17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9"/>
    </row>
    <row r="212" spans="1:37" ht="20.100000000000001" customHeight="1" x14ac:dyDescent="0.3">
      <c r="A212" s="20">
        <v>200</v>
      </c>
      <c r="B212" s="15"/>
      <c r="C212" s="15"/>
      <c r="D212" s="15"/>
      <c r="E212" s="15"/>
      <c r="F212" s="15"/>
      <c r="G212" s="15"/>
      <c r="H212" s="15"/>
      <c r="I212" s="16"/>
      <c r="J212" s="16"/>
      <c r="K212" s="16"/>
      <c r="L212" s="16"/>
      <c r="M212" s="16"/>
      <c r="N212" s="16"/>
      <c r="O212" s="16"/>
      <c r="P212" s="16"/>
      <c r="Q212" s="16"/>
      <c r="R212" s="17"/>
      <c r="S212" s="17"/>
      <c r="T212" s="17"/>
      <c r="U212" s="17"/>
      <c r="V212" s="17"/>
      <c r="W212" s="17"/>
      <c r="X212" s="17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9"/>
    </row>
    <row r="213" spans="1:37" ht="20.100000000000001" customHeight="1" x14ac:dyDescent="0.3">
      <c r="A213" s="20">
        <v>201</v>
      </c>
      <c r="B213" s="15"/>
      <c r="C213" s="15"/>
      <c r="D213" s="15"/>
      <c r="E213" s="15"/>
      <c r="F213" s="15"/>
      <c r="G213" s="15"/>
      <c r="H213" s="15"/>
      <c r="I213" s="16"/>
      <c r="J213" s="16"/>
      <c r="K213" s="16"/>
      <c r="L213" s="16"/>
      <c r="M213" s="16"/>
      <c r="N213" s="16"/>
      <c r="O213" s="16"/>
      <c r="P213" s="16"/>
      <c r="Q213" s="16"/>
      <c r="R213" s="17"/>
      <c r="S213" s="17"/>
      <c r="T213" s="17"/>
      <c r="U213" s="17"/>
      <c r="V213" s="17"/>
      <c r="W213" s="17"/>
      <c r="X213" s="17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9"/>
    </row>
    <row r="214" spans="1:37" ht="20.100000000000001" customHeight="1" x14ac:dyDescent="0.3">
      <c r="A214" s="20">
        <v>202</v>
      </c>
      <c r="B214" s="15"/>
      <c r="C214" s="15"/>
      <c r="D214" s="15"/>
      <c r="E214" s="15"/>
      <c r="F214" s="15"/>
      <c r="G214" s="15"/>
      <c r="H214" s="15"/>
      <c r="I214" s="16"/>
      <c r="J214" s="16"/>
      <c r="K214" s="16"/>
      <c r="L214" s="16"/>
      <c r="M214" s="16"/>
      <c r="N214" s="16"/>
      <c r="O214" s="16"/>
      <c r="P214" s="16"/>
      <c r="Q214" s="16"/>
      <c r="R214" s="17"/>
      <c r="S214" s="17"/>
      <c r="T214" s="17"/>
      <c r="U214" s="17"/>
      <c r="V214" s="17"/>
      <c r="W214" s="17"/>
      <c r="X214" s="17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9"/>
    </row>
    <row r="215" spans="1:37" ht="20.100000000000001" customHeight="1" x14ac:dyDescent="0.3">
      <c r="A215" s="20">
        <v>203</v>
      </c>
      <c r="B215" s="15"/>
      <c r="C215" s="15"/>
      <c r="D215" s="15"/>
      <c r="E215" s="15"/>
      <c r="F215" s="15"/>
      <c r="G215" s="15"/>
      <c r="H215" s="15"/>
      <c r="I215" s="16"/>
      <c r="J215" s="16"/>
      <c r="K215" s="16"/>
      <c r="L215" s="16"/>
      <c r="M215" s="16"/>
      <c r="N215" s="16"/>
      <c r="O215" s="16"/>
      <c r="P215" s="16"/>
      <c r="Q215" s="16"/>
      <c r="R215" s="17"/>
      <c r="S215" s="17"/>
      <c r="T215" s="17"/>
      <c r="U215" s="17"/>
      <c r="V215" s="17"/>
      <c r="W215" s="17"/>
      <c r="X215" s="17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9"/>
    </row>
    <row r="216" spans="1:37" ht="20.100000000000001" customHeight="1" x14ac:dyDescent="0.3">
      <c r="A216" s="20">
        <v>204</v>
      </c>
      <c r="B216" s="15"/>
      <c r="C216" s="15"/>
      <c r="D216" s="15"/>
      <c r="E216" s="15"/>
      <c r="F216" s="15"/>
      <c r="G216" s="15"/>
      <c r="H216" s="15"/>
      <c r="I216" s="16"/>
      <c r="J216" s="16"/>
      <c r="K216" s="16"/>
      <c r="L216" s="16"/>
      <c r="M216" s="16"/>
      <c r="N216" s="16"/>
      <c r="O216" s="16"/>
      <c r="P216" s="16"/>
      <c r="Q216" s="16"/>
      <c r="R216" s="17"/>
      <c r="S216" s="17"/>
      <c r="T216" s="17"/>
      <c r="U216" s="17"/>
      <c r="V216" s="17"/>
      <c r="W216" s="17"/>
      <c r="X216" s="17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9"/>
    </row>
    <row r="217" spans="1:37" ht="20.100000000000001" customHeight="1" x14ac:dyDescent="0.3">
      <c r="A217" s="20">
        <v>205</v>
      </c>
      <c r="B217" s="15"/>
      <c r="C217" s="15"/>
      <c r="D217" s="15"/>
      <c r="E217" s="15"/>
      <c r="F217" s="15"/>
      <c r="G217" s="15"/>
      <c r="H217" s="15"/>
      <c r="I217" s="16"/>
      <c r="J217" s="16"/>
      <c r="K217" s="16"/>
      <c r="L217" s="16"/>
      <c r="M217" s="16"/>
      <c r="N217" s="16"/>
      <c r="O217" s="16"/>
      <c r="P217" s="16"/>
      <c r="Q217" s="16"/>
      <c r="R217" s="17"/>
      <c r="S217" s="17"/>
      <c r="T217" s="17"/>
      <c r="U217" s="17"/>
      <c r="V217" s="17"/>
      <c r="W217" s="17"/>
      <c r="X217" s="17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9"/>
    </row>
    <row r="218" spans="1:37" ht="20.100000000000001" customHeight="1" x14ac:dyDescent="0.3">
      <c r="A218" s="20">
        <v>206</v>
      </c>
      <c r="B218" s="15"/>
      <c r="C218" s="15"/>
      <c r="D218" s="15"/>
      <c r="E218" s="15"/>
      <c r="F218" s="15"/>
      <c r="G218" s="15"/>
      <c r="H218" s="15"/>
      <c r="I218" s="16"/>
      <c r="J218" s="16"/>
      <c r="K218" s="16"/>
      <c r="L218" s="16"/>
      <c r="M218" s="16"/>
      <c r="N218" s="16"/>
      <c r="O218" s="16"/>
      <c r="P218" s="16"/>
      <c r="Q218" s="16"/>
      <c r="R218" s="17"/>
      <c r="S218" s="17"/>
      <c r="T218" s="17"/>
      <c r="U218" s="17"/>
      <c r="V218" s="17"/>
      <c r="W218" s="17"/>
      <c r="X218" s="17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9"/>
    </row>
    <row r="219" spans="1:37" ht="20.100000000000001" customHeight="1" x14ac:dyDescent="0.3">
      <c r="A219" s="20">
        <v>207</v>
      </c>
      <c r="B219" s="15"/>
      <c r="C219" s="15"/>
      <c r="D219" s="15"/>
      <c r="E219" s="15"/>
      <c r="F219" s="15"/>
      <c r="G219" s="15"/>
      <c r="H219" s="15"/>
      <c r="I219" s="16"/>
      <c r="J219" s="16"/>
      <c r="K219" s="16"/>
      <c r="L219" s="16"/>
      <c r="M219" s="16"/>
      <c r="N219" s="16"/>
      <c r="O219" s="16"/>
      <c r="P219" s="16"/>
      <c r="Q219" s="16"/>
      <c r="R219" s="17"/>
      <c r="S219" s="17"/>
      <c r="T219" s="17"/>
      <c r="U219" s="17"/>
      <c r="V219" s="17"/>
      <c r="W219" s="17"/>
      <c r="X219" s="17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9"/>
    </row>
    <row r="220" spans="1:37" ht="20.100000000000001" customHeight="1" x14ac:dyDescent="0.3">
      <c r="A220" s="20">
        <v>208</v>
      </c>
      <c r="B220" s="15"/>
      <c r="C220" s="15"/>
      <c r="D220" s="15"/>
      <c r="E220" s="15"/>
      <c r="F220" s="15"/>
      <c r="G220" s="15"/>
      <c r="H220" s="15"/>
      <c r="I220" s="16"/>
      <c r="J220" s="16"/>
      <c r="K220" s="16"/>
      <c r="L220" s="16"/>
      <c r="M220" s="16"/>
      <c r="N220" s="16"/>
      <c r="O220" s="16"/>
      <c r="P220" s="16"/>
      <c r="Q220" s="16"/>
      <c r="R220" s="17"/>
      <c r="S220" s="17"/>
      <c r="T220" s="17"/>
      <c r="U220" s="17"/>
      <c r="V220" s="17"/>
      <c r="W220" s="17"/>
      <c r="X220" s="17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9"/>
    </row>
    <row r="221" spans="1:37" ht="20.100000000000001" customHeight="1" x14ac:dyDescent="0.3">
      <c r="A221" s="20">
        <v>209</v>
      </c>
      <c r="B221" s="15"/>
      <c r="C221" s="15"/>
      <c r="D221" s="15"/>
      <c r="E221" s="15"/>
      <c r="F221" s="15"/>
      <c r="G221" s="15"/>
      <c r="H221" s="15"/>
      <c r="I221" s="16"/>
      <c r="J221" s="16"/>
      <c r="K221" s="16"/>
      <c r="L221" s="16"/>
      <c r="M221" s="16"/>
      <c r="N221" s="16"/>
      <c r="O221" s="16"/>
      <c r="P221" s="16"/>
      <c r="Q221" s="16"/>
      <c r="R221" s="17"/>
      <c r="S221" s="17"/>
      <c r="T221" s="17"/>
      <c r="U221" s="17"/>
      <c r="V221" s="17"/>
      <c r="W221" s="17"/>
      <c r="X221" s="17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9"/>
    </row>
    <row r="222" spans="1:37" ht="20.100000000000001" customHeight="1" x14ac:dyDescent="0.3">
      <c r="A222" s="20">
        <v>210</v>
      </c>
      <c r="B222" s="15"/>
      <c r="C222" s="15"/>
      <c r="D222" s="15"/>
      <c r="E222" s="15"/>
      <c r="F222" s="15"/>
      <c r="G222" s="15"/>
      <c r="H222" s="15"/>
      <c r="I222" s="16"/>
      <c r="J222" s="16"/>
      <c r="K222" s="16"/>
      <c r="L222" s="16"/>
      <c r="M222" s="16"/>
      <c r="N222" s="16"/>
      <c r="O222" s="16"/>
      <c r="P222" s="16"/>
      <c r="Q222" s="16"/>
      <c r="R222" s="17"/>
      <c r="S222" s="17"/>
      <c r="T222" s="17"/>
      <c r="U222" s="17"/>
      <c r="V222" s="17"/>
      <c r="W222" s="17"/>
      <c r="X222" s="17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9"/>
    </row>
    <row r="223" spans="1:37" ht="20.100000000000001" customHeight="1" x14ac:dyDescent="0.3">
      <c r="A223" s="20">
        <v>211</v>
      </c>
      <c r="B223" s="15"/>
      <c r="C223" s="15"/>
      <c r="D223" s="15"/>
      <c r="E223" s="15"/>
      <c r="F223" s="15"/>
      <c r="G223" s="15"/>
      <c r="H223" s="15"/>
      <c r="I223" s="16"/>
      <c r="J223" s="16"/>
      <c r="K223" s="16"/>
      <c r="L223" s="16"/>
      <c r="M223" s="16"/>
      <c r="N223" s="16"/>
      <c r="O223" s="16"/>
      <c r="P223" s="16"/>
      <c r="Q223" s="16"/>
      <c r="R223" s="17"/>
      <c r="S223" s="17"/>
      <c r="T223" s="17"/>
      <c r="U223" s="17"/>
      <c r="V223" s="17"/>
      <c r="W223" s="17"/>
      <c r="X223" s="17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9"/>
    </row>
    <row r="224" spans="1:37" ht="20.100000000000001" customHeight="1" x14ac:dyDescent="0.3">
      <c r="A224" s="20">
        <v>212</v>
      </c>
      <c r="B224" s="15"/>
      <c r="C224" s="15"/>
      <c r="D224" s="15"/>
      <c r="E224" s="15"/>
      <c r="F224" s="15"/>
      <c r="G224" s="15"/>
      <c r="H224" s="15"/>
      <c r="I224" s="16"/>
      <c r="J224" s="16"/>
      <c r="K224" s="16"/>
      <c r="L224" s="16"/>
      <c r="M224" s="16"/>
      <c r="N224" s="16"/>
      <c r="O224" s="16"/>
      <c r="P224" s="16"/>
      <c r="Q224" s="16"/>
      <c r="R224" s="17"/>
      <c r="S224" s="17"/>
      <c r="T224" s="17"/>
      <c r="U224" s="17"/>
      <c r="V224" s="17"/>
      <c r="W224" s="17"/>
      <c r="X224" s="17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9"/>
    </row>
    <row r="225" spans="1:37" ht="20.100000000000001" customHeight="1" x14ac:dyDescent="0.3">
      <c r="A225" s="20">
        <v>213</v>
      </c>
      <c r="B225" s="15"/>
      <c r="C225" s="15"/>
      <c r="D225" s="15"/>
      <c r="E225" s="15"/>
      <c r="F225" s="15"/>
      <c r="G225" s="15"/>
      <c r="H225" s="15"/>
      <c r="I225" s="16"/>
      <c r="J225" s="16"/>
      <c r="K225" s="16"/>
      <c r="L225" s="16"/>
      <c r="M225" s="16"/>
      <c r="N225" s="16"/>
      <c r="O225" s="16"/>
      <c r="P225" s="16"/>
      <c r="Q225" s="16"/>
      <c r="R225" s="17"/>
      <c r="S225" s="17"/>
      <c r="T225" s="17"/>
      <c r="U225" s="17"/>
      <c r="V225" s="17"/>
      <c r="W225" s="17"/>
      <c r="X225" s="17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9"/>
    </row>
    <row r="226" spans="1:37" ht="20.100000000000001" customHeight="1" x14ac:dyDescent="0.3">
      <c r="A226" s="20">
        <v>214</v>
      </c>
      <c r="B226" s="15"/>
      <c r="C226" s="15"/>
      <c r="D226" s="15"/>
      <c r="E226" s="15"/>
      <c r="F226" s="15"/>
      <c r="G226" s="15"/>
      <c r="H226" s="15"/>
      <c r="I226" s="16"/>
      <c r="J226" s="16"/>
      <c r="K226" s="16"/>
      <c r="L226" s="16"/>
      <c r="M226" s="16"/>
      <c r="N226" s="16"/>
      <c r="O226" s="16"/>
      <c r="P226" s="16"/>
      <c r="Q226" s="16"/>
      <c r="R226" s="17"/>
      <c r="S226" s="17"/>
      <c r="T226" s="17"/>
      <c r="U226" s="17"/>
      <c r="V226" s="17"/>
      <c r="W226" s="17"/>
      <c r="X226" s="17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9"/>
    </row>
    <row r="227" spans="1:37" ht="20.100000000000001" customHeight="1" x14ac:dyDescent="0.3">
      <c r="A227" s="20">
        <v>215</v>
      </c>
      <c r="B227" s="15"/>
      <c r="C227" s="15"/>
      <c r="D227" s="15"/>
      <c r="E227" s="15"/>
      <c r="F227" s="15"/>
      <c r="G227" s="15"/>
      <c r="H227" s="15"/>
      <c r="I227" s="16"/>
      <c r="J227" s="16"/>
      <c r="K227" s="16"/>
      <c r="L227" s="16"/>
      <c r="M227" s="16"/>
      <c r="N227" s="16"/>
      <c r="O227" s="16"/>
      <c r="P227" s="16"/>
      <c r="Q227" s="16"/>
      <c r="R227" s="17"/>
      <c r="S227" s="17"/>
      <c r="T227" s="17"/>
      <c r="U227" s="17"/>
      <c r="V227" s="17"/>
      <c r="W227" s="17"/>
      <c r="X227" s="17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9"/>
    </row>
    <row r="228" spans="1:37" ht="20.100000000000001" customHeight="1" x14ac:dyDescent="0.3">
      <c r="A228" s="20">
        <v>216</v>
      </c>
      <c r="B228" s="15"/>
      <c r="C228" s="15"/>
      <c r="D228" s="15"/>
      <c r="E228" s="15"/>
      <c r="F228" s="15"/>
      <c r="G228" s="15"/>
      <c r="H228" s="15"/>
      <c r="I228" s="16"/>
      <c r="J228" s="16"/>
      <c r="K228" s="16"/>
      <c r="L228" s="16"/>
      <c r="M228" s="16"/>
      <c r="N228" s="16"/>
      <c r="O228" s="16"/>
      <c r="P228" s="16"/>
      <c r="Q228" s="16"/>
      <c r="R228" s="17"/>
      <c r="S228" s="17"/>
      <c r="T228" s="17"/>
      <c r="U228" s="17"/>
      <c r="V228" s="17"/>
      <c r="W228" s="17"/>
      <c r="X228" s="17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9"/>
    </row>
    <row r="229" spans="1:37" ht="20.100000000000001" customHeight="1" x14ac:dyDescent="0.3">
      <c r="A229" s="20">
        <v>217</v>
      </c>
      <c r="B229" s="15"/>
      <c r="C229" s="15"/>
      <c r="D229" s="15"/>
      <c r="E229" s="15"/>
      <c r="F229" s="15"/>
      <c r="G229" s="15"/>
      <c r="H229" s="15"/>
      <c r="I229" s="16"/>
      <c r="J229" s="16"/>
      <c r="K229" s="16"/>
      <c r="L229" s="16"/>
      <c r="M229" s="16"/>
      <c r="N229" s="16"/>
      <c r="O229" s="16"/>
      <c r="P229" s="16"/>
      <c r="Q229" s="16"/>
      <c r="R229" s="17"/>
      <c r="S229" s="17"/>
      <c r="T229" s="17"/>
      <c r="U229" s="17"/>
      <c r="V229" s="17"/>
      <c r="W229" s="17"/>
      <c r="X229" s="17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9"/>
    </row>
    <row r="230" spans="1:37" ht="20.100000000000001" customHeight="1" x14ac:dyDescent="0.3">
      <c r="A230" s="20">
        <v>218</v>
      </c>
      <c r="B230" s="15"/>
      <c r="C230" s="15"/>
      <c r="D230" s="15"/>
      <c r="E230" s="15"/>
      <c r="F230" s="15"/>
      <c r="G230" s="15"/>
      <c r="H230" s="15"/>
      <c r="I230" s="16"/>
      <c r="J230" s="16"/>
      <c r="K230" s="16"/>
      <c r="L230" s="16"/>
      <c r="M230" s="16"/>
      <c r="N230" s="16"/>
      <c r="O230" s="16"/>
      <c r="P230" s="16"/>
      <c r="Q230" s="16"/>
      <c r="R230" s="17"/>
      <c r="S230" s="17"/>
      <c r="T230" s="17"/>
      <c r="U230" s="17"/>
      <c r="V230" s="17"/>
      <c r="W230" s="17"/>
      <c r="X230" s="17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9"/>
    </row>
    <row r="231" spans="1:37" ht="20.100000000000001" customHeight="1" x14ac:dyDescent="0.3">
      <c r="A231" s="20">
        <v>219</v>
      </c>
      <c r="B231" s="15"/>
      <c r="C231" s="15"/>
      <c r="D231" s="15"/>
      <c r="E231" s="15"/>
      <c r="F231" s="15"/>
      <c r="G231" s="15"/>
      <c r="H231" s="15"/>
      <c r="I231" s="16"/>
      <c r="J231" s="16"/>
      <c r="K231" s="16"/>
      <c r="L231" s="16"/>
      <c r="M231" s="16"/>
      <c r="N231" s="16"/>
      <c r="O231" s="16"/>
      <c r="P231" s="16"/>
      <c r="Q231" s="16"/>
      <c r="R231" s="17"/>
      <c r="S231" s="17"/>
      <c r="T231" s="17"/>
      <c r="U231" s="17"/>
      <c r="V231" s="17"/>
      <c r="W231" s="17"/>
      <c r="X231" s="17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9"/>
    </row>
    <row r="232" spans="1:37" ht="20.100000000000001" customHeight="1" x14ac:dyDescent="0.3">
      <c r="A232" s="20">
        <v>220</v>
      </c>
      <c r="B232" s="15"/>
      <c r="C232" s="15"/>
      <c r="D232" s="15"/>
      <c r="E232" s="15"/>
      <c r="F232" s="15"/>
      <c r="G232" s="15"/>
      <c r="H232" s="15"/>
      <c r="I232" s="16"/>
      <c r="J232" s="16"/>
      <c r="K232" s="16"/>
      <c r="L232" s="16"/>
      <c r="M232" s="16"/>
      <c r="N232" s="16"/>
      <c r="O232" s="16"/>
      <c r="P232" s="16"/>
      <c r="Q232" s="16"/>
      <c r="R232" s="17"/>
      <c r="S232" s="17"/>
      <c r="T232" s="17"/>
      <c r="U232" s="17"/>
      <c r="V232" s="17"/>
      <c r="W232" s="17"/>
      <c r="X232" s="17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9"/>
    </row>
    <row r="233" spans="1:37" ht="20.100000000000001" customHeight="1" x14ac:dyDescent="0.3">
      <c r="A233" s="20">
        <v>221</v>
      </c>
      <c r="B233" s="15"/>
      <c r="C233" s="15"/>
      <c r="D233" s="15"/>
      <c r="E233" s="15"/>
      <c r="F233" s="15"/>
      <c r="G233" s="15"/>
      <c r="H233" s="15"/>
      <c r="I233" s="16"/>
      <c r="J233" s="16"/>
      <c r="K233" s="16"/>
      <c r="L233" s="16"/>
      <c r="M233" s="16"/>
      <c r="N233" s="16"/>
      <c r="O233" s="16"/>
      <c r="P233" s="16"/>
      <c r="Q233" s="16"/>
      <c r="R233" s="17"/>
      <c r="S233" s="17"/>
      <c r="T233" s="17"/>
      <c r="U233" s="17"/>
      <c r="V233" s="17"/>
      <c r="W233" s="17"/>
      <c r="X233" s="17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9"/>
    </row>
    <row r="234" spans="1:37" ht="20.100000000000001" customHeight="1" x14ac:dyDescent="0.3">
      <c r="A234" s="20">
        <v>222</v>
      </c>
      <c r="B234" s="15"/>
      <c r="C234" s="15"/>
      <c r="D234" s="15"/>
      <c r="E234" s="15"/>
      <c r="F234" s="15"/>
      <c r="G234" s="15"/>
      <c r="H234" s="15"/>
      <c r="I234" s="16"/>
      <c r="J234" s="16"/>
      <c r="K234" s="16"/>
      <c r="L234" s="16"/>
      <c r="M234" s="16"/>
      <c r="N234" s="16"/>
      <c r="O234" s="16"/>
      <c r="P234" s="16"/>
      <c r="Q234" s="16"/>
      <c r="R234" s="17"/>
      <c r="S234" s="17"/>
      <c r="T234" s="17"/>
      <c r="U234" s="17"/>
      <c r="V234" s="17"/>
      <c r="W234" s="17"/>
      <c r="X234" s="17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9"/>
    </row>
    <row r="235" spans="1:37" ht="20.100000000000001" customHeight="1" x14ac:dyDescent="0.3">
      <c r="A235" s="20">
        <v>223</v>
      </c>
      <c r="B235" s="15"/>
      <c r="C235" s="15"/>
      <c r="D235" s="15"/>
      <c r="E235" s="15"/>
      <c r="F235" s="15"/>
      <c r="G235" s="15"/>
      <c r="H235" s="15"/>
      <c r="I235" s="16"/>
      <c r="J235" s="16"/>
      <c r="K235" s="16"/>
      <c r="L235" s="16"/>
      <c r="M235" s="16"/>
      <c r="N235" s="16"/>
      <c r="O235" s="16"/>
      <c r="P235" s="16"/>
      <c r="Q235" s="16"/>
      <c r="R235" s="17"/>
      <c r="S235" s="17"/>
      <c r="T235" s="17"/>
      <c r="U235" s="17"/>
      <c r="V235" s="17"/>
      <c r="W235" s="17"/>
      <c r="X235" s="17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9"/>
    </row>
    <row r="236" spans="1:37" ht="20.100000000000001" customHeight="1" x14ac:dyDescent="0.3">
      <c r="A236" s="20">
        <v>224</v>
      </c>
      <c r="B236" s="15"/>
      <c r="C236" s="15"/>
      <c r="D236" s="15"/>
      <c r="E236" s="15"/>
      <c r="F236" s="15"/>
      <c r="G236" s="15"/>
      <c r="H236" s="15"/>
      <c r="I236" s="16"/>
      <c r="J236" s="16"/>
      <c r="K236" s="16"/>
      <c r="L236" s="16"/>
      <c r="M236" s="16"/>
      <c r="N236" s="16"/>
      <c r="O236" s="16"/>
      <c r="P236" s="16"/>
      <c r="Q236" s="16"/>
      <c r="R236" s="17"/>
      <c r="S236" s="17"/>
      <c r="T236" s="17"/>
      <c r="U236" s="17"/>
      <c r="V236" s="17"/>
      <c r="W236" s="17"/>
      <c r="X236" s="17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9"/>
    </row>
    <row r="237" spans="1:37" ht="20.100000000000001" customHeight="1" x14ac:dyDescent="0.3">
      <c r="A237" s="20">
        <v>225</v>
      </c>
      <c r="B237" s="15"/>
      <c r="C237" s="15"/>
      <c r="D237" s="15"/>
      <c r="E237" s="15"/>
      <c r="F237" s="15"/>
      <c r="G237" s="15"/>
      <c r="H237" s="15"/>
      <c r="I237" s="16"/>
      <c r="J237" s="16"/>
      <c r="K237" s="16"/>
      <c r="L237" s="16"/>
      <c r="M237" s="16"/>
      <c r="N237" s="16"/>
      <c r="O237" s="16"/>
      <c r="P237" s="16"/>
      <c r="Q237" s="16"/>
      <c r="R237" s="17"/>
      <c r="S237" s="17"/>
      <c r="T237" s="17"/>
      <c r="U237" s="17"/>
      <c r="V237" s="17"/>
      <c r="W237" s="17"/>
      <c r="X237" s="17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9"/>
    </row>
    <row r="238" spans="1:37" ht="20.100000000000001" customHeight="1" x14ac:dyDescent="0.3">
      <c r="A238" s="20">
        <v>226</v>
      </c>
      <c r="B238" s="15"/>
      <c r="C238" s="15"/>
      <c r="D238" s="15"/>
      <c r="E238" s="15"/>
      <c r="F238" s="15"/>
      <c r="G238" s="15"/>
      <c r="H238" s="15"/>
      <c r="I238" s="16"/>
      <c r="J238" s="16"/>
      <c r="K238" s="16"/>
      <c r="L238" s="16"/>
      <c r="M238" s="16"/>
      <c r="N238" s="16"/>
      <c r="O238" s="16"/>
      <c r="P238" s="16"/>
      <c r="Q238" s="16"/>
      <c r="R238" s="17"/>
      <c r="S238" s="17"/>
      <c r="T238" s="17"/>
      <c r="U238" s="17"/>
      <c r="V238" s="17"/>
      <c r="W238" s="17"/>
      <c r="X238" s="17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9"/>
    </row>
    <row r="239" spans="1:37" ht="20.100000000000001" customHeight="1" x14ac:dyDescent="0.3">
      <c r="A239" s="20">
        <v>227</v>
      </c>
      <c r="B239" s="15"/>
      <c r="C239" s="15"/>
      <c r="D239" s="15"/>
      <c r="E239" s="15"/>
      <c r="F239" s="15"/>
      <c r="G239" s="15"/>
      <c r="H239" s="15"/>
      <c r="I239" s="16"/>
      <c r="J239" s="16"/>
      <c r="K239" s="16"/>
      <c r="L239" s="16"/>
      <c r="M239" s="16"/>
      <c r="N239" s="16"/>
      <c r="O239" s="16"/>
      <c r="P239" s="16"/>
      <c r="Q239" s="16"/>
      <c r="R239" s="17"/>
      <c r="S239" s="17"/>
      <c r="T239" s="17"/>
      <c r="U239" s="17"/>
      <c r="V239" s="17"/>
      <c r="W239" s="17"/>
      <c r="X239" s="17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9"/>
    </row>
    <row r="240" spans="1:37" ht="20.100000000000001" customHeight="1" x14ac:dyDescent="0.3">
      <c r="A240" s="20">
        <v>228</v>
      </c>
      <c r="B240" s="15"/>
      <c r="C240" s="15"/>
      <c r="D240" s="15"/>
      <c r="E240" s="15"/>
      <c r="F240" s="15"/>
      <c r="G240" s="15"/>
      <c r="H240" s="15"/>
      <c r="I240" s="16"/>
      <c r="J240" s="16"/>
      <c r="K240" s="16"/>
      <c r="L240" s="16"/>
      <c r="M240" s="16"/>
      <c r="N240" s="16"/>
      <c r="O240" s="16"/>
      <c r="P240" s="16"/>
      <c r="Q240" s="16"/>
      <c r="R240" s="17"/>
      <c r="S240" s="17"/>
      <c r="T240" s="17"/>
      <c r="U240" s="17"/>
      <c r="V240" s="17"/>
      <c r="W240" s="17"/>
      <c r="X240" s="17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9"/>
    </row>
    <row r="241" spans="1:37" ht="20.100000000000001" customHeight="1" x14ac:dyDescent="0.3">
      <c r="A241" s="20">
        <v>229</v>
      </c>
      <c r="B241" s="15"/>
      <c r="C241" s="15"/>
      <c r="D241" s="15"/>
      <c r="E241" s="15"/>
      <c r="F241" s="15"/>
      <c r="G241" s="15"/>
      <c r="H241" s="15"/>
      <c r="I241" s="16"/>
      <c r="J241" s="16"/>
      <c r="K241" s="16"/>
      <c r="L241" s="16"/>
      <c r="M241" s="16"/>
      <c r="N241" s="16"/>
      <c r="O241" s="16"/>
      <c r="P241" s="16"/>
      <c r="Q241" s="16"/>
      <c r="R241" s="17"/>
      <c r="S241" s="17"/>
      <c r="T241" s="17"/>
      <c r="U241" s="17"/>
      <c r="V241" s="17"/>
      <c r="W241" s="17"/>
      <c r="X241" s="17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9"/>
    </row>
    <row r="242" spans="1:37" ht="20.100000000000001" customHeight="1" x14ac:dyDescent="0.3">
      <c r="A242" s="20">
        <v>230</v>
      </c>
      <c r="B242" s="15"/>
      <c r="C242" s="15"/>
      <c r="D242" s="15"/>
      <c r="E242" s="15"/>
      <c r="F242" s="15"/>
      <c r="G242" s="15"/>
      <c r="H242" s="15"/>
      <c r="I242" s="16"/>
      <c r="J242" s="16"/>
      <c r="K242" s="16"/>
      <c r="L242" s="16"/>
      <c r="M242" s="16"/>
      <c r="N242" s="16"/>
      <c r="O242" s="16"/>
      <c r="P242" s="16"/>
      <c r="Q242" s="16"/>
      <c r="R242" s="17"/>
      <c r="S242" s="17"/>
      <c r="T242" s="17"/>
      <c r="U242" s="17"/>
      <c r="V242" s="17"/>
      <c r="W242" s="17"/>
      <c r="X242" s="17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9"/>
    </row>
    <row r="243" spans="1:37" ht="20.100000000000001" customHeight="1" x14ac:dyDescent="0.3">
      <c r="A243" s="20">
        <v>231</v>
      </c>
      <c r="B243" s="15"/>
      <c r="C243" s="15"/>
      <c r="D243" s="15"/>
      <c r="E243" s="15"/>
      <c r="F243" s="15"/>
      <c r="G243" s="15"/>
      <c r="H243" s="15"/>
      <c r="I243" s="16"/>
      <c r="J243" s="16"/>
      <c r="K243" s="16"/>
      <c r="L243" s="16"/>
      <c r="M243" s="16"/>
      <c r="N243" s="16"/>
      <c r="O243" s="16"/>
      <c r="P243" s="16"/>
      <c r="Q243" s="16"/>
      <c r="R243" s="17"/>
      <c r="S243" s="17"/>
      <c r="T243" s="17"/>
      <c r="U243" s="17"/>
      <c r="V243" s="17"/>
      <c r="W243" s="17"/>
      <c r="X243" s="17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9"/>
    </row>
    <row r="244" spans="1:37" ht="20.100000000000001" customHeight="1" x14ac:dyDescent="0.3">
      <c r="A244" s="20">
        <v>232</v>
      </c>
      <c r="B244" s="15"/>
      <c r="C244" s="15"/>
      <c r="D244" s="15"/>
      <c r="E244" s="15"/>
      <c r="F244" s="15"/>
      <c r="G244" s="15"/>
      <c r="H244" s="15"/>
      <c r="I244" s="16"/>
      <c r="J244" s="16"/>
      <c r="K244" s="16"/>
      <c r="L244" s="16"/>
      <c r="M244" s="16"/>
      <c r="N244" s="16"/>
      <c r="O244" s="16"/>
      <c r="P244" s="16"/>
      <c r="Q244" s="16"/>
      <c r="R244" s="17"/>
      <c r="S244" s="17"/>
      <c r="T244" s="17"/>
      <c r="U244" s="17"/>
      <c r="V244" s="17"/>
      <c r="W244" s="17"/>
      <c r="X244" s="17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9"/>
    </row>
    <row r="245" spans="1:37" ht="20.100000000000001" customHeight="1" x14ac:dyDescent="0.3">
      <c r="A245" s="20">
        <v>233</v>
      </c>
      <c r="B245" s="15"/>
      <c r="C245" s="15"/>
      <c r="D245" s="15"/>
      <c r="E245" s="15"/>
      <c r="F245" s="15"/>
      <c r="G245" s="15"/>
      <c r="H245" s="15"/>
      <c r="I245" s="16"/>
      <c r="J245" s="16"/>
      <c r="K245" s="16"/>
      <c r="L245" s="16"/>
      <c r="M245" s="16"/>
      <c r="N245" s="16"/>
      <c r="O245" s="16"/>
      <c r="P245" s="16"/>
      <c r="Q245" s="16"/>
      <c r="R245" s="17"/>
      <c r="S245" s="17"/>
      <c r="T245" s="17"/>
      <c r="U245" s="17"/>
      <c r="V245" s="17"/>
      <c r="W245" s="17"/>
      <c r="X245" s="17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9"/>
    </row>
    <row r="246" spans="1:37" ht="20.100000000000001" customHeight="1" x14ac:dyDescent="0.3">
      <c r="A246" s="20">
        <v>234</v>
      </c>
      <c r="B246" s="15"/>
      <c r="C246" s="15"/>
      <c r="D246" s="15"/>
      <c r="E246" s="15"/>
      <c r="F246" s="15"/>
      <c r="G246" s="15"/>
      <c r="H246" s="15"/>
      <c r="I246" s="16"/>
      <c r="J246" s="16"/>
      <c r="K246" s="16"/>
      <c r="L246" s="16"/>
      <c r="M246" s="16"/>
      <c r="N246" s="16"/>
      <c r="O246" s="16"/>
      <c r="P246" s="16"/>
      <c r="Q246" s="16"/>
      <c r="R246" s="17"/>
      <c r="S246" s="17"/>
      <c r="T246" s="17"/>
      <c r="U246" s="17"/>
      <c r="V246" s="17"/>
      <c r="W246" s="17"/>
      <c r="X246" s="17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9"/>
    </row>
    <row r="247" spans="1:37" ht="20.100000000000001" customHeight="1" x14ac:dyDescent="0.3">
      <c r="A247" s="20">
        <v>235</v>
      </c>
      <c r="B247" s="15"/>
      <c r="C247" s="15"/>
      <c r="D247" s="15"/>
      <c r="E247" s="15"/>
      <c r="F247" s="15"/>
      <c r="G247" s="15"/>
      <c r="H247" s="15"/>
      <c r="I247" s="16"/>
      <c r="J247" s="16"/>
      <c r="K247" s="16"/>
      <c r="L247" s="16"/>
      <c r="M247" s="16"/>
      <c r="N247" s="16"/>
      <c r="O247" s="16"/>
      <c r="P247" s="16"/>
      <c r="Q247" s="16"/>
      <c r="R247" s="17"/>
      <c r="S247" s="17"/>
      <c r="T247" s="17"/>
      <c r="U247" s="17"/>
      <c r="V247" s="17"/>
      <c r="W247" s="17"/>
      <c r="X247" s="17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9"/>
    </row>
    <row r="248" spans="1:37" ht="20.100000000000001" customHeight="1" x14ac:dyDescent="0.3">
      <c r="A248" s="20">
        <v>236</v>
      </c>
      <c r="B248" s="15"/>
      <c r="C248" s="15"/>
      <c r="D248" s="15"/>
      <c r="E248" s="15"/>
      <c r="F248" s="15"/>
      <c r="G248" s="15"/>
      <c r="H248" s="15"/>
      <c r="I248" s="16"/>
      <c r="J248" s="16"/>
      <c r="K248" s="16"/>
      <c r="L248" s="16"/>
      <c r="M248" s="16"/>
      <c r="N248" s="16"/>
      <c r="O248" s="16"/>
      <c r="P248" s="16"/>
      <c r="Q248" s="16"/>
      <c r="R248" s="17"/>
      <c r="S248" s="17"/>
      <c r="T248" s="17"/>
      <c r="U248" s="17"/>
      <c r="V248" s="17"/>
      <c r="W248" s="17"/>
      <c r="X248" s="17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9"/>
    </row>
    <row r="249" spans="1:37" ht="20.100000000000001" customHeight="1" x14ac:dyDescent="0.3">
      <c r="A249" s="20">
        <v>237</v>
      </c>
      <c r="B249" s="15"/>
      <c r="C249" s="15"/>
      <c r="D249" s="15"/>
      <c r="E249" s="15"/>
      <c r="F249" s="15"/>
      <c r="G249" s="15"/>
      <c r="H249" s="15"/>
      <c r="I249" s="16"/>
      <c r="J249" s="16"/>
      <c r="K249" s="16"/>
      <c r="L249" s="16"/>
      <c r="M249" s="16"/>
      <c r="N249" s="16"/>
      <c r="O249" s="16"/>
      <c r="P249" s="16"/>
      <c r="Q249" s="16"/>
      <c r="R249" s="17"/>
      <c r="S249" s="17"/>
      <c r="T249" s="17"/>
      <c r="U249" s="17"/>
      <c r="V249" s="17"/>
      <c r="W249" s="17"/>
      <c r="X249" s="17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9"/>
    </row>
    <row r="250" spans="1:37" ht="20.100000000000001" customHeight="1" x14ac:dyDescent="0.3">
      <c r="A250" s="20">
        <v>238</v>
      </c>
      <c r="B250" s="15"/>
      <c r="C250" s="15"/>
      <c r="D250" s="15"/>
      <c r="E250" s="15"/>
      <c r="F250" s="15"/>
      <c r="G250" s="15"/>
      <c r="H250" s="15"/>
      <c r="I250" s="16"/>
      <c r="J250" s="16"/>
      <c r="K250" s="16"/>
      <c r="L250" s="16"/>
      <c r="M250" s="16"/>
      <c r="N250" s="16"/>
      <c r="O250" s="16"/>
      <c r="P250" s="16"/>
      <c r="Q250" s="16"/>
      <c r="R250" s="17"/>
      <c r="S250" s="17"/>
      <c r="T250" s="17"/>
      <c r="U250" s="17"/>
      <c r="V250" s="17"/>
      <c r="W250" s="17"/>
      <c r="X250" s="17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9"/>
    </row>
    <row r="251" spans="1:37" ht="20.100000000000001" customHeight="1" x14ac:dyDescent="0.3">
      <c r="A251" s="20">
        <v>239</v>
      </c>
      <c r="B251" s="15"/>
      <c r="C251" s="15"/>
      <c r="D251" s="15"/>
      <c r="E251" s="15"/>
      <c r="F251" s="15"/>
      <c r="G251" s="15"/>
      <c r="H251" s="15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s="17"/>
      <c r="T251" s="17"/>
      <c r="U251" s="17"/>
      <c r="V251" s="17"/>
      <c r="W251" s="17"/>
      <c r="X251" s="17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9"/>
    </row>
    <row r="252" spans="1:37" ht="20.100000000000001" customHeight="1" x14ac:dyDescent="0.3">
      <c r="A252" s="20">
        <v>240</v>
      </c>
      <c r="B252" s="15"/>
      <c r="C252" s="15"/>
      <c r="D252" s="15"/>
      <c r="E252" s="15"/>
      <c r="F252" s="15"/>
      <c r="G252" s="15"/>
      <c r="H252" s="15"/>
      <c r="I252" s="16"/>
      <c r="J252" s="16"/>
      <c r="K252" s="16"/>
      <c r="L252" s="16"/>
      <c r="M252" s="16"/>
      <c r="N252" s="16"/>
      <c r="O252" s="16"/>
      <c r="P252" s="16"/>
      <c r="Q252" s="16"/>
      <c r="R252" s="17"/>
      <c r="S252" s="17"/>
      <c r="T252" s="17"/>
      <c r="U252" s="17"/>
      <c r="V252" s="17"/>
      <c r="W252" s="17"/>
      <c r="X252" s="17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9"/>
    </row>
    <row r="253" spans="1:37" ht="20.100000000000001" customHeight="1" x14ac:dyDescent="0.3">
      <c r="A253" s="20">
        <v>241</v>
      </c>
      <c r="B253" s="15"/>
      <c r="C253" s="15"/>
      <c r="D253" s="15"/>
      <c r="E253" s="15"/>
      <c r="F253" s="15"/>
      <c r="G253" s="15"/>
      <c r="H253" s="15"/>
      <c r="I253" s="16"/>
      <c r="J253" s="16"/>
      <c r="K253" s="16"/>
      <c r="L253" s="16"/>
      <c r="M253" s="16"/>
      <c r="N253" s="16"/>
      <c r="O253" s="16"/>
      <c r="P253" s="16"/>
      <c r="Q253" s="16"/>
      <c r="R253" s="17"/>
      <c r="S253" s="17"/>
      <c r="T253" s="17"/>
      <c r="U253" s="17"/>
      <c r="V253" s="17"/>
      <c r="W253" s="17"/>
      <c r="X253" s="17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9"/>
    </row>
    <row r="254" spans="1:37" ht="20.100000000000001" customHeight="1" x14ac:dyDescent="0.3">
      <c r="A254" s="20">
        <v>242</v>
      </c>
      <c r="B254" s="15"/>
      <c r="C254" s="15"/>
      <c r="D254" s="15"/>
      <c r="E254" s="15"/>
      <c r="F254" s="15"/>
      <c r="G254" s="15"/>
      <c r="H254" s="15"/>
      <c r="I254" s="16"/>
      <c r="J254" s="16"/>
      <c r="K254" s="16"/>
      <c r="L254" s="16"/>
      <c r="M254" s="16"/>
      <c r="N254" s="16"/>
      <c r="O254" s="16"/>
      <c r="P254" s="16"/>
      <c r="Q254" s="16"/>
      <c r="R254" s="17"/>
      <c r="S254" s="17"/>
      <c r="T254" s="17"/>
      <c r="U254" s="17"/>
      <c r="V254" s="17"/>
      <c r="W254" s="17"/>
      <c r="X254" s="17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9"/>
    </row>
    <row r="255" spans="1:37" ht="20.100000000000001" customHeight="1" x14ac:dyDescent="0.3">
      <c r="A255" s="20">
        <v>243</v>
      </c>
      <c r="B255" s="15"/>
      <c r="C255" s="15"/>
      <c r="D255" s="15"/>
      <c r="E255" s="15"/>
      <c r="F255" s="15"/>
      <c r="G255" s="15"/>
      <c r="H255" s="15"/>
      <c r="I255" s="16"/>
      <c r="J255" s="16"/>
      <c r="K255" s="16"/>
      <c r="L255" s="16"/>
      <c r="M255" s="16"/>
      <c r="N255" s="16"/>
      <c r="O255" s="16"/>
      <c r="P255" s="16"/>
      <c r="Q255" s="16"/>
      <c r="R255" s="17"/>
      <c r="S255" s="17"/>
      <c r="T255" s="17"/>
      <c r="U255" s="17"/>
      <c r="V255" s="17"/>
      <c r="W255" s="17"/>
      <c r="X255" s="17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9"/>
    </row>
    <row r="256" spans="1:37" ht="20.100000000000001" customHeight="1" x14ac:dyDescent="0.3">
      <c r="A256" s="20">
        <v>244</v>
      </c>
      <c r="B256" s="15"/>
      <c r="C256" s="15"/>
      <c r="D256" s="15"/>
      <c r="E256" s="15"/>
      <c r="F256" s="15"/>
      <c r="G256" s="15"/>
      <c r="H256" s="15"/>
      <c r="I256" s="16"/>
      <c r="J256" s="16"/>
      <c r="K256" s="16"/>
      <c r="L256" s="16"/>
      <c r="M256" s="16"/>
      <c r="N256" s="16"/>
      <c r="O256" s="16"/>
      <c r="P256" s="16"/>
      <c r="Q256" s="16"/>
      <c r="R256" s="17"/>
      <c r="S256" s="17"/>
      <c r="T256" s="17"/>
      <c r="U256" s="17"/>
      <c r="V256" s="17"/>
      <c r="W256" s="17"/>
      <c r="X256" s="17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9"/>
    </row>
    <row r="257" spans="1:37" ht="20.100000000000001" customHeight="1" x14ac:dyDescent="0.3">
      <c r="A257" s="20">
        <v>245</v>
      </c>
      <c r="B257" s="15"/>
      <c r="C257" s="15"/>
      <c r="D257" s="15"/>
      <c r="E257" s="15"/>
      <c r="F257" s="15"/>
      <c r="G257" s="15"/>
      <c r="H257" s="15"/>
      <c r="I257" s="16"/>
      <c r="J257" s="16"/>
      <c r="K257" s="16"/>
      <c r="L257" s="16"/>
      <c r="M257" s="16"/>
      <c r="N257" s="16"/>
      <c r="O257" s="16"/>
      <c r="P257" s="16"/>
      <c r="Q257" s="16"/>
      <c r="R257" s="17"/>
      <c r="S257" s="17"/>
      <c r="T257" s="17"/>
      <c r="U257" s="17"/>
      <c r="V257" s="17"/>
      <c r="W257" s="17"/>
      <c r="X257" s="17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9"/>
    </row>
    <row r="258" spans="1:37" ht="20.100000000000001" customHeight="1" x14ac:dyDescent="0.3">
      <c r="A258" s="20">
        <v>246</v>
      </c>
      <c r="B258" s="15"/>
      <c r="C258" s="15"/>
      <c r="D258" s="15"/>
      <c r="E258" s="15"/>
      <c r="F258" s="15"/>
      <c r="G258" s="15"/>
      <c r="H258" s="15"/>
      <c r="I258" s="16"/>
      <c r="J258" s="16"/>
      <c r="K258" s="16"/>
      <c r="L258" s="16"/>
      <c r="M258" s="16"/>
      <c r="N258" s="16"/>
      <c r="O258" s="16"/>
      <c r="P258" s="16"/>
      <c r="Q258" s="16"/>
      <c r="R258" s="17"/>
      <c r="S258" s="17"/>
      <c r="T258" s="17"/>
      <c r="U258" s="17"/>
      <c r="V258" s="17"/>
      <c r="W258" s="17"/>
      <c r="X258" s="17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9"/>
    </row>
    <row r="259" spans="1:37" ht="20.100000000000001" customHeight="1" x14ac:dyDescent="0.3">
      <c r="A259" s="20">
        <v>247</v>
      </c>
      <c r="B259" s="15"/>
      <c r="C259" s="15"/>
      <c r="D259" s="15"/>
      <c r="E259" s="15"/>
      <c r="F259" s="15"/>
      <c r="G259" s="15"/>
      <c r="H259" s="15"/>
      <c r="I259" s="16"/>
      <c r="J259" s="16"/>
      <c r="K259" s="16"/>
      <c r="L259" s="16"/>
      <c r="M259" s="16"/>
      <c r="N259" s="16"/>
      <c r="O259" s="16"/>
      <c r="P259" s="16"/>
      <c r="Q259" s="16"/>
      <c r="R259" s="17"/>
      <c r="S259" s="17"/>
      <c r="T259" s="17"/>
      <c r="U259" s="17"/>
      <c r="V259" s="17"/>
      <c r="W259" s="17"/>
      <c r="X259" s="17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9"/>
    </row>
    <row r="260" spans="1:37" ht="20.100000000000001" customHeight="1" x14ac:dyDescent="0.3">
      <c r="A260" s="20">
        <v>248</v>
      </c>
      <c r="B260" s="15"/>
      <c r="C260" s="15"/>
      <c r="D260" s="15"/>
      <c r="E260" s="15"/>
      <c r="F260" s="15"/>
      <c r="G260" s="15"/>
      <c r="H260" s="15"/>
      <c r="I260" s="16"/>
      <c r="J260" s="16"/>
      <c r="K260" s="16"/>
      <c r="L260" s="16"/>
      <c r="M260" s="16"/>
      <c r="N260" s="16"/>
      <c r="O260" s="16"/>
      <c r="P260" s="16"/>
      <c r="Q260" s="16"/>
      <c r="R260" s="17"/>
      <c r="S260" s="17"/>
      <c r="T260" s="17"/>
      <c r="U260" s="17"/>
      <c r="V260" s="17"/>
      <c r="W260" s="17"/>
      <c r="X260" s="17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9"/>
    </row>
    <row r="261" spans="1:37" ht="20.100000000000001" customHeight="1" x14ac:dyDescent="0.3">
      <c r="A261" s="20">
        <v>249</v>
      </c>
      <c r="B261" s="15"/>
      <c r="C261" s="15"/>
      <c r="D261" s="15"/>
      <c r="E261" s="15"/>
      <c r="F261" s="15"/>
      <c r="G261" s="15"/>
      <c r="H261" s="15"/>
      <c r="I261" s="16"/>
      <c r="J261" s="16"/>
      <c r="K261" s="16"/>
      <c r="L261" s="16"/>
      <c r="M261" s="16"/>
      <c r="N261" s="16"/>
      <c r="O261" s="16"/>
      <c r="P261" s="16"/>
      <c r="Q261" s="16"/>
      <c r="R261" s="17"/>
      <c r="S261" s="17"/>
      <c r="T261" s="17"/>
      <c r="U261" s="17"/>
      <c r="V261" s="17"/>
      <c r="W261" s="17"/>
      <c r="X261" s="17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9"/>
    </row>
    <row r="262" spans="1:37" ht="20.100000000000001" customHeight="1" x14ac:dyDescent="0.3">
      <c r="A262" s="20">
        <v>250</v>
      </c>
      <c r="B262" s="15"/>
      <c r="C262" s="15"/>
      <c r="D262" s="15"/>
      <c r="E262" s="15"/>
      <c r="F262" s="15"/>
      <c r="G262" s="15"/>
      <c r="H262" s="15"/>
      <c r="I262" s="16"/>
      <c r="J262" s="16"/>
      <c r="K262" s="16"/>
      <c r="L262" s="16"/>
      <c r="M262" s="16"/>
      <c r="N262" s="16"/>
      <c r="O262" s="16"/>
      <c r="P262" s="16"/>
      <c r="Q262" s="16"/>
      <c r="R262" s="17"/>
      <c r="S262" s="17"/>
      <c r="T262" s="17"/>
      <c r="U262" s="17"/>
      <c r="V262" s="17"/>
      <c r="W262" s="17"/>
      <c r="X262" s="17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9"/>
    </row>
    <row r="263" spans="1:37" x14ac:dyDescent="0.3"/>
    <row r="264" spans="1:37" x14ac:dyDescent="0.3"/>
    <row r="265" spans="1:37" x14ac:dyDescent="0.3"/>
    <row r="266" spans="1:37" x14ac:dyDescent="0.3"/>
    <row r="267" spans="1:37" x14ac:dyDescent="0.3"/>
    <row r="268" spans="1:37" x14ac:dyDescent="0.3"/>
  </sheetData>
  <sheetProtection algorithmName="SHA-512" hashValue="5FhU+4g8xwa5DrBRMINjvrAad6/KHlfBlI15YRmwpvg4Z4nwcg2RTbY7W7cHhQzxR9CeN8o16llBbAB8+UR0RQ==" saltValue="FSZXqPKKgZb9S9iWCDwZAA==" spinCount="100000" sheet="1" objects="1" scenarios="1" selectLockedCells="1"/>
  <mergeCells count="6">
    <mergeCell ref="C3:H8"/>
    <mergeCell ref="C1:H1"/>
    <mergeCell ref="R11:X11"/>
    <mergeCell ref="I11:Q11"/>
    <mergeCell ref="Y11:AJ11"/>
    <mergeCell ref="B11:H11"/>
  </mergeCells>
  <conditionalFormatting sqref="B13:AK13 E14 Z14:AK14 C14:D16 F14:Y16 B14:B262">
    <cfRule type="expression" dxfId="17" priority="1">
      <formula>$B13= "Booked"</formula>
    </cfRule>
    <cfRule type="expression" dxfId="16" priority="2">
      <formula>$B13= "No Answer"</formula>
    </cfRule>
    <cfRule type="expression" dxfId="15" priority="3">
      <formula>$B13= "Call Back"</formula>
    </cfRule>
    <cfRule type="expression" dxfId="14" priority="4">
      <formula>$B13= "Not qualified"</formula>
    </cfRule>
    <cfRule type="expression" dxfId="13" priority="5">
      <formula>$B13= "Not Interested"</formula>
    </cfRule>
    <cfRule type="expression" dxfId="12" priority="6">
      <formula>OR($B13= "Cannot Contact",$E13="5 or more")</formula>
    </cfRule>
  </conditionalFormatting>
  <dataValidations count="7">
    <dataValidation type="list" allowBlank="1" showInputMessage="1" showErrorMessage="1" sqref="F13:F262" xr:uid="{D93235B3-1368-41C5-87B6-634CEE7232E7}">
      <formula1>$AQ$13:$AQ$26</formula1>
    </dataValidation>
    <dataValidation type="list" allowBlank="1" showInputMessage="1" showErrorMessage="1" sqref="J13:J262" xr:uid="{84F9305C-9070-4B3F-8592-66985281F44A}">
      <formula1>$AO$13:$AO$15</formula1>
    </dataValidation>
    <dataValidation type="list" allowBlank="1" showInputMessage="1" showErrorMessage="1" sqref="M13:M262" xr:uid="{6CC7D2B8-336F-41FB-B3B1-F26B8B78E00F}">
      <formula1>$AR$13:$AR$19</formula1>
    </dataValidation>
    <dataValidation type="list" allowBlank="1" showInputMessage="1" showErrorMessage="1" sqref="N13:O262 Q13:X262" xr:uid="{6A1BE92B-1F24-45DE-8C13-F393636D3D0E}">
      <formula1>$AS$13:$AS$15</formula1>
    </dataValidation>
    <dataValidation type="list" allowBlank="1" showInputMessage="1" showErrorMessage="1" sqref="Y13:AJ262" xr:uid="{D232F213-BCB4-4492-8A2E-18567FC44D33}">
      <formula1>$AT$13:$AT$16</formula1>
    </dataValidation>
    <dataValidation type="list" allowBlank="1" showInputMessage="1" showErrorMessage="1" sqref="E13:E262" xr:uid="{FB98CD9C-77F1-482E-90FA-0C7D4BCD75EB}">
      <formula1>$AU$13:$AU$18</formula1>
    </dataValidation>
    <dataValidation type="list" allowBlank="1" showInputMessage="1" showErrorMessage="1" sqref="B13:B262" xr:uid="{F107ADD3-D7F6-4DDB-A348-A8FE884207A1}">
      <formula1>$AP$13:$AP$19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4BE8-F542-4073-9DBB-3F4F1AC4DBF8}">
  <sheetPr codeName="Sheet2">
    <tabColor rgb="FF9900CC"/>
  </sheetPr>
  <dimension ref="A1:AA35"/>
  <sheetViews>
    <sheetView showGridLines="0" tabSelected="1" topLeftCell="C6" workbookViewId="0">
      <selection activeCell="O6" sqref="O6:Q6"/>
    </sheetView>
  </sheetViews>
  <sheetFormatPr defaultColWidth="0" defaultRowHeight="14.4" zeroHeight="1" x14ac:dyDescent="0.3"/>
  <cols>
    <col min="1" max="1" width="6.109375" style="65" customWidth="1"/>
    <col min="2" max="2" width="2.33203125" style="22" customWidth="1"/>
    <col min="3" max="5" width="9.109375" style="22" customWidth="1"/>
    <col min="6" max="6" width="18.88671875" style="22" customWidth="1"/>
    <col min="7" max="7" width="16.33203125" style="65" customWidth="1"/>
    <col min="8" max="8" width="9.109375" style="65" customWidth="1"/>
    <col min="9" max="9" width="29.33203125" style="65" customWidth="1"/>
    <col min="10" max="10" width="2" style="65" customWidth="1"/>
    <col min="11" max="11" width="9.109375" style="65" customWidth="1"/>
    <col min="12" max="12" width="1.6640625" style="22" customWidth="1"/>
    <col min="13" max="13" width="9.109375" style="22" customWidth="1"/>
    <col min="14" max="14" width="9.5546875" style="22" customWidth="1"/>
    <col min="15" max="15" width="9.109375" style="22" customWidth="1"/>
    <col min="16" max="16" width="6.88671875" style="22" customWidth="1"/>
    <col min="17" max="17" width="20.109375" style="22" customWidth="1"/>
    <col min="18" max="18" width="9.109375" style="65" customWidth="1"/>
    <col min="19" max="19" width="16.33203125" style="65" customWidth="1"/>
    <col min="20" max="22" width="9.109375" style="65" customWidth="1"/>
    <col min="23" max="24" width="9.109375" style="65" hidden="1" customWidth="1"/>
    <col min="25" max="25" width="17.88671875" style="65" hidden="1" customWidth="1"/>
    <col min="26" max="26" width="16" style="65" hidden="1" customWidth="1"/>
    <col min="27" max="27" width="12.6640625" style="65" hidden="1" customWidth="1"/>
    <col min="28" max="16384" width="9.109375" style="65" hidden="1"/>
  </cols>
  <sheetData>
    <row r="1" spans="1:18" s="64" customFormat="1" ht="42" customHeight="1" x14ac:dyDescent="0.3">
      <c r="A1" s="234" t="s">
        <v>135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</row>
    <row r="2" spans="1:18" s="64" customFormat="1" ht="42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8" s="64" customFormat="1" ht="42" customHeight="1" x14ac:dyDescent="0.3">
      <c r="A3" s="63"/>
      <c r="B3" s="247" t="s">
        <v>136</v>
      </c>
      <c r="C3" s="247"/>
      <c r="D3" s="247"/>
      <c r="E3" s="247"/>
      <c r="F3" s="247"/>
      <c r="G3" s="63"/>
      <c r="H3" s="63"/>
      <c r="I3" s="63"/>
      <c r="J3" s="247" t="s">
        <v>137</v>
      </c>
      <c r="K3" s="247"/>
      <c r="L3" s="247"/>
      <c r="M3" s="247"/>
      <c r="N3" s="247"/>
      <c r="O3" s="247"/>
      <c r="P3" s="247"/>
      <c r="Q3" s="247"/>
      <c r="R3" s="63"/>
    </row>
    <row r="4" spans="1:18" s="64" customFormat="1" ht="21.75" customHeight="1" thickBot="1" x14ac:dyDescent="0.35"/>
    <row r="5" spans="1:18" s="64" customFormat="1" ht="27" customHeight="1" thickTop="1" thickBot="1" x14ac:dyDescent="0.35">
      <c r="B5" s="76"/>
      <c r="C5" s="244" t="s">
        <v>138</v>
      </c>
      <c r="D5" s="245"/>
      <c r="E5" s="245"/>
      <c r="F5" s="246"/>
      <c r="J5" s="51"/>
      <c r="K5" s="52" t="s">
        <v>139</v>
      </c>
      <c r="L5" s="52"/>
      <c r="M5" s="53"/>
      <c r="N5" s="53"/>
      <c r="O5" s="242">
        <v>92</v>
      </c>
      <c r="P5" s="243"/>
      <c r="Q5" s="94" t="s">
        <v>140</v>
      </c>
      <c r="R5" s="193">
        <f>IF(O5=100,99.999,O5)</f>
        <v>92</v>
      </c>
    </row>
    <row r="6" spans="1:18" s="64" customFormat="1" ht="26.25" customHeight="1" thickTop="1" x14ac:dyDescent="0.3">
      <c r="B6" s="74"/>
      <c r="C6" s="75" t="s">
        <v>37</v>
      </c>
      <c r="D6" s="238">
        <v>45261</v>
      </c>
      <c r="E6" s="239"/>
      <c r="F6" s="73" t="s">
        <v>39</v>
      </c>
      <c r="J6" s="102"/>
      <c r="K6" s="103" t="s">
        <v>141</v>
      </c>
      <c r="L6" s="103"/>
      <c r="M6" s="104"/>
      <c r="N6" s="105"/>
      <c r="O6" s="260">
        <v>45291</v>
      </c>
      <c r="P6" s="261"/>
      <c r="Q6" s="262"/>
    </row>
    <row r="7" spans="1:18" s="64" customFormat="1" ht="21.75" customHeight="1" x14ac:dyDescent="0.3">
      <c r="B7" s="235"/>
      <c r="C7" s="236"/>
      <c r="D7" s="236"/>
      <c r="E7" s="236"/>
      <c r="F7" s="237"/>
      <c r="J7" s="74"/>
      <c r="K7" s="91"/>
      <c r="L7" s="91"/>
      <c r="M7" s="91"/>
      <c r="N7" s="91"/>
      <c r="O7" s="92" t="s">
        <v>39</v>
      </c>
      <c r="P7" s="92"/>
      <c r="Q7" s="93"/>
    </row>
    <row r="8" spans="1:18" s="64" customFormat="1" ht="21.75" customHeight="1" x14ac:dyDescent="0.3">
      <c r="B8" s="240" t="s">
        <v>142</v>
      </c>
      <c r="C8" s="241"/>
      <c r="D8" s="241"/>
      <c r="E8" s="241"/>
      <c r="F8" s="54" t="s">
        <v>143</v>
      </c>
      <c r="J8" s="77"/>
      <c r="K8" s="266" t="s">
        <v>144</v>
      </c>
      <c r="L8" s="266"/>
      <c r="M8" s="266"/>
      <c r="N8" s="266"/>
      <c r="O8" s="266"/>
      <c r="P8" s="266"/>
      <c r="Q8" s="62">
        <v>16551.16</v>
      </c>
      <c r="R8" s="87" t="s">
        <v>145</v>
      </c>
    </row>
    <row r="9" spans="1:18" s="64" customFormat="1" ht="21.75" customHeight="1" x14ac:dyDescent="0.3">
      <c r="B9" s="77"/>
      <c r="C9" s="248" t="s">
        <v>146</v>
      </c>
      <c r="D9" s="249"/>
      <c r="E9" s="249"/>
      <c r="F9" s="61">
        <v>175924.22</v>
      </c>
      <c r="G9" s="89" t="s">
        <v>147</v>
      </c>
      <c r="J9" s="77"/>
      <c r="K9" s="266" t="s">
        <v>148</v>
      </c>
      <c r="L9" s="266"/>
      <c r="M9" s="266"/>
      <c r="N9" s="266"/>
      <c r="O9" s="266"/>
      <c r="P9" s="266"/>
      <c r="Q9" s="62">
        <v>0</v>
      </c>
      <c r="R9" s="87" t="s">
        <v>149</v>
      </c>
    </row>
    <row r="10" spans="1:18" s="64" customFormat="1" ht="21.75" customHeight="1" x14ac:dyDescent="0.3">
      <c r="B10" s="77"/>
      <c r="C10" s="219" t="s">
        <v>150</v>
      </c>
      <c r="D10" s="220"/>
      <c r="E10" s="220"/>
      <c r="F10" s="61">
        <v>0</v>
      </c>
      <c r="G10" s="89" t="s">
        <v>151</v>
      </c>
      <c r="J10" s="74"/>
      <c r="K10" s="91"/>
      <c r="L10" s="91"/>
      <c r="M10" s="91"/>
      <c r="N10" s="91"/>
      <c r="O10" s="91"/>
      <c r="P10" s="91"/>
      <c r="Q10" s="93"/>
      <c r="R10" s="88"/>
    </row>
    <row r="11" spans="1:18" s="64" customFormat="1" ht="21.75" customHeight="1" x14ac:dyDescent="0.3">
      <c r="B11" s="77"/>
      <c r="C11" s="219" t="s">
        <v>152</v>
      </c>
      <c r="D11" s="220"/>
      <c r="E11" s="220"/>
      <c r="F11" s="107">
        <f>F9-F10</f>
        <v>175924.22</v>
      </c>
      <c r="G11" s="89" t="s">
        <v>153</v>
      </c>
      <c r="J11" s="250" t="s">
        <v>154</v>
      </c>
      <c r="K11" s="251"/>
      <c r="L11" s="251"/>
      <c r="M11" s="251"/>
      <c r="N11" s="251"/>
      <c r="O11" s="251"/>
      <c r="P11" s="251"/>
      <c r="Q11" s="252"/>
      <c r="R11" s="88"/>
    </row>
    <row r="12" spans="1:18" s="64" customFormat="1" ht="21.75" customHeight="1" x14ac:dyDescent="0.3">
      <c r="B12" s="77"/>
      <c r="C12" s="219" t="s">
        <v>155</v>
      </c>
      <c r="D12" s="220"/>
      <c r="E12" s="220"/>
      <c r="F12" s="61">
        <v>70000</v>
      </c>
      <c r="G12" s="89" t="s">
        <v>156</v>
      </c>
      <c r="J12" s="77"/>
      <c r="K12" s="266" t="s">
        <v>157</v>
      </c>
      <c r="L12" s="266"/>
      <c r="M12" s="266"/>
      <c r="N12" s="266"/>
      <c r="O12" s="78"/>
      <c r="P12" s="215">
        <f>(((R5*(F9-F10-Q9-Q8))-(100*(F9+F13-F10-Q8-F12)))/(100-R5))</f>
        <v>372293.43999999994</v>
      </c>
      <c r="Q12" s="216"/>
      <c r="R12" s="88" t="s">
        <v>158</v>
      </c>
    </row>
    <row r="13" spans="1:18" s="64" customFormat="1" ht="21.75" customHeight="1" x14ac:dyDescent="0.3">
      <c r="B13" s="77"/>
      <c r="C13" s="219" t="s">
        <v>159</v>
      </c>
      <c r="D13" s="220"/>
      <c r="E13" s="220"/>
      <c r="F13" s="61">
        <v>27466.68</v>
      </c>
      <c r="G13" s="89" t="s">
        <v>160</v>
      </c>
      <c r="J13" s="210" t="s">
        <v>161</v>
      </c>
      <c r="K13" s="211"/>
      <c r="L13" s="211"/>
      <c r="M13" s="211"/>
      <c r="N13" s="211"/>
      <c r="O13" s="211"/>
      <c r="P13" s="211"/>
      <c r="Q13" s="212"/>
      <c r="R13" s="88" t="s">
        <v>162</v>
      </c>
    </row>
    <row r="14" spans="1:18" s="64" customFormat="1" ht="21.75" customHeight="1" x14ac:dyDescent="0.3">
      <c r="B14" s="77"/>
      <c r="C14" s="219" t="s">
        <v>163</v>
      </c>
      <c r="D14" s="220"/>
      <c r="E14" s="220"/>
      <c r="F14" s="107">
        <f>F11-F12+F13</f>
        <v>133390.9</v>
      </c>
      <c r="G14" s="89" t="s">
        <v>164</v>
      </c>
      <c r="J14" s="77"/>
      <c r="K14" s="266" t="s">
        <v>165</v>
      </c>
      <c r="L14" s="266"/>
      <c r="M14" s="266"/>
      <c r="N14" s="266"/>
      <c r="O14" s="78"/>
      <c r="P14" s="215">
        <f>(((R5*(F9-F10-Q9-Q8)-(100*(F9+F13-F10-Q8-F12))))/100)</f>
        <v>29783.475199999997</v>
      </c>
      <c r="Q14" s="216"/>
      <c r="R14" s="88" t="s">
        <v>166</v>
      </c>
    </row>
    <row r="15" spans="1:18" s="64" customFormat="1" ht="22.5" customHeight="1" thickBot="1" x14ac:dyDescent="0.35">
      <c r="B15" s="55"/>
      <c r="C15" s="208" t="s">
        <v>167</v>
      </c>
      <c r="D15" s="209"/>
      <c r="E15" s="209"/>
      <c r="F15" s="56">
        <f>IFERROR(F14/F11,"")</f>
        <v>0.75822931032463858</v>
      </c>
      <c r="G15" s="90" t="s">
        <v>168</v>
      </c>
      <c r="J15" s="210" t="s">
        <v>161</v>
      </c>
      <c r="K15" s="211"/>
      <c r="L15" s="211"/>
      <c r="M15" s="211"/>
      <c r="N15" s="211"/>
      <c r="O15" s="211"/>
      <c r="P15" s="211"/>
      <c r="Q15" s="212"/>
    </row>
    <row r="16" spans="1:18" s="64" customFormat="1" ht="23.25" customHeight="1" thickTop="1" thickBot="1" x14ac:dyDescent="0.35">
      <c r="J16" s="79"/>
      <c r="K16" s="214" t="s">
        <v>169</v>
      </c>
      <c r="L16" s="214"/>
      <c r="M16" s="214"/>
      <c r="N16" s="214"/>
      <c r="O16" s="80"/>
      <c r="P16" s="217">
        <f>(R5*(F9-F10-Q9-Q8)-(100*(F9+F13-F10-Q8-F12)))/(100 -R5)</f>
        <v>372293.43999999994</v>
      </c>
      <c r="Q16" s="218"/>
    </row>
    <row r="17" spans="1:27" s="64" customFormat="1" ht="21.75" customHeight="1" thickTop="1" x14ac:dyDescent="0.3"/>
    <row r="18" spans="1:27" s="64" customFormat="1" ht="21.75" customHeight="1" x14ac:dyDescent="0.3"/>
    <row r="19" spans="1:27" s="64" customFormat="1" ht="39.75" customHeight="1" x14ac:dyDescent="0.3">
      <c r="A19" s="85"/>
      <c r="B19" s="192" t="s">
        <v>170</v>
      </c>
      <c r="C19" s="192"/>
      <c r="D19" s="192"/>
      <c r="E19" s="192"/>
      <c r="F19" s="192"/>
      <c r="G19" s="192"/>
      <c r="H19" s="192"/>
      <c r="I19" s="192"/>
      <c r="J19" s="86"/>
      <c r="K19" s="86"/>
      <c r="L19" s="86"/>
      <c r="M19" s="86"/>
      <c r="N19" s="86"/>
      <c r="O19" s="86"/>
      <c r="P19" s="86"/>
      <c r="Q19" s="86"/>
      <c r="R19" s="192"/>
      <c r="S19" s="192"/>
      <c r="T19" s="192"/>
      <c r="U19" s="192"/>
      <c r="V19" s="86"/>
    </row>
    <row r="20" spans="1:27" s="64" customFormat="1" ht="21.75" customHeight="1" x14ac:dyDescent="0.3">
      <c r="B20" s="66"/>
      <c r="C20" s="66"/>
      <c r="D20" s="66"/>
      <c r="E20" s="66"/>
      <c r="F20" s="66"/>
      <c r="G20" s="66"/>
      <c r="H20" s="66"/>
      <c r="I20" s="66"/>
    </row>
    <row r="21" spans="1:27" s="64" customFormat="1" ht="30" customHeight="1" x14ac:dyDescent="0.3">
      <c r="B21" s="57"/>
      <c r="C21" s="213" t="s">
        <v>171</v>
      </c>
      <c r="D21" s="213"/>
      <c r="E21" s="213"/>
      <c r="F21" s="58">
        <f>O5</f>
        <v>92</v>
      </c>
      <c r="G21" s="106" t="s">
        <v>140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</row>
    <row r="22" spans="1:27" s="64" customFormat="1" ht="21.75" customHeight="1" thickBot="1" x14ac:dyDescent="0.35"/>
    <row r="23" spans="1:27" s="64" customFormat="1" ht="21.75" customHeight="1" thickTop="1" x14ac:dyDescent="0.3">
      <c r="B23" s="59"/>
      <c r="C23" s="223" t="s">
        <v>172</v>
      </c>
      <c r="D23" s="224"/>
      <c r="E23" s="224"/>
      <c r="F23" s="225"/>
      <c r="G23" s="60" t="s">
        <v>143</v>
      </c>
      <c r="H23" s="226" t="s">
        <v>173</v>
      </c>
      <c r="I23" s="227"/>
      <c r="L23" s="95"/>
      <c r="M23" s="96"/>
      <c r="N23" s="96"/>
      <c r="O23" s="96"/>
      <c r="P23" s="263" t="s">
        <v>174</v>
      </c>
      <c r="Q23" s="263"/>
      <c r="R23" s="254"/>
      <c r="S23" s="255"/>
    </row>
    <row r="24" spans="1:27" s="64" customFormat="1" ht="21.75" customHeight="1" x14ac:dyDescent="0.3">
      <c r="A24" s="88" t="s">
        <v>145</v>
      </c>
      <c r="B24" s="77"/>
      <c r="C24" s="219" t="s">
        <v>144</v>
      </c>
      <c r="D24" s="220"/>
      <c r="E24" s="220"/>
      <c r="F24" s="220"/>
      <c r="G24" s="101">
        <f>Q8</f>
        <v>16551.16</v>
      </c>
      <c r="H24" s="228">
        <f>IFERROR(((F9+G26+G30+F13+G27)-(F10+G28+G24++F12+G29))/((F9+G26+G30)-(F10+G28+G25+G24)),"")</f>
        <v>0.9038091889723503</v>
      </c>
      <c r="I24" s="229"/>
      <c r="L24" s="97"/>
      <c r="M24" s="98"/>
      <c r="N24" s="98"/>
      <c r="O24" s="98"/>
      <c r="P24" s="264"/>
      <c r="Q24" s="264"/>
      <c r="R24" s="256" t="s">
        <v>175</v>
      </c>
      <c r="S24" s="257"/>
    </row>
    <row r="25" spans="1:27" s="64" customFormat="1" ht="21.75" customHeight="1" x14ac:dyDescent="0.3">
      <c r="A25" s="88" t="s">
        <v>149</v>
      </c>
      <c r="B25" s="77"/>
      <c r="C25" s="219" t="s">
        <v>148</v>
      </c>
      <c r="D25" s="220"/>
      <c r="E25" s="220"/>
      <c r="F25" s="220"/>
      <c r="G25" s="101">
        <f>Q9</f>
        <v>0</v>
      </c>
      <c r="H25" s="230"/>
      <c r="I25" s="231"/>
      <c r="J25" s="69"/>
      <c r="L25" s="99"/>
      <c r="M25" s="100"/>
      <c r="N25" s="100"/>
      <c r="O25" s="100"/>
      <c r="P25" s="265"/>
      <c r="Q25" s="265"/>
      <c r="R25" s="258"/>
      <c r="S25" s="259"/>
      <c r="Y25" s="64" t="s">
        <v>175</v>
      </c>
      <c r="Z25" s="64" t="s">
        <v>176</v>
      </c>
    </row>
    <row r="26" spans="1:27" s="64" customFormat="1" ht="21.75" customHeight="1" x14ac:dyDescent="0.3">
      <c r="A26" s="88" t="s">
        <v>158</v>
      </c>
      <c r="B26" s="77"/>
      <c r="C26" s="219" t="s">
        <v>177</v>
      </c>
      <c r="D26" s="220"/>
      <c r="E26" s="220"/>
      <c r="F26" s="220"/>
      <c r="G26" s="70">
        <v>282803.48</v>
      </c>
      <c r="H26" s="230"/>
      <c r="I26" s="231"/>
      <c r="L26" s="77"/>
      <c r="M26" s="81" t="s">
        <v>157</v>
      </c>
      <c r="N26" s="82"/>
      <c r="O26" s="82"/>
      <c r="P26" s="215">
        <f>Z26</f>
        <v>372293.43999999994</v>
      </c>
      <c r="Q26" s="216"/>
      <c r="R26" s="206">
        <f>IF(Y26&lt;=0,,Y26)</f>
        <v>89489.959999999963</v>
      </c>
      <c r="S26" s="207"/>
      <c r="X26" s="64" t="s">
        <v>178</v>
      </c>
      <c r="Y26" s="67">
        <f>(((R5*(F9+G26+G30-F10-G28-G25-G24))-(100*(F9+G26+G30+F13+G27-F10-G28-G24-F12-G29)))/(100-R5))</f>
        <v>89489.959999999963</v>
      </c>
      <c r="Z26" s="67">
        <f>(((R5*(F9+G30-F10-G28-G25-G24))-(100*(F9+G30+F13+G27-F10-G28-G24-F12-G29)))/(100-R5))</f>
        <v>372293.43999999994</v>
      </c>
      <c r="AA26" s="68">
        <f>IF(Y26&lt;=0,,Y26)</f>
        <v>89489.959999999963</v>
      </c>
    </row>
    <row r="27" spans="1:27" s="64" customFormat="1" ht="21.75" customHeight="1" x14ac:dyDescent="0.3">
      <c r="A27" s="88" t="s">
        <v>162</v>
      </c>
      <c r="B27" s="77"/>
      <c r="C27" s="219" t="s">
        <v>179</v>
      </c>
      <c r="D27" s="220"/>
      <c r="E27" s="220"/>
      <c r="F27" s="220"/>
      <c r="G27" s="70">
        <v>0</v>
      </c>
      <c r="H27" s="230"/>
      <c r="I27" s="231"/>
      <c r="L27" s="267" t="s">
        <v>180</v>
      </c>
      <c r="M27" s="268"/>
      <c r="N27" s="268"/>
      <c r="O27" s="268"/>
      <c r="P27" s="268"/>
      <c r="Q27" s="268"/>
      <c r="R27" s="268"/>
      <c r="S27" s="269"/>
      <c r="X27" s="64" t="s">
        <v>181</v>
      </c>
      <c r="Y27" s="67">
        <f>(((R5*(F9+G26+G30-F10-G28-G25-G24))-100*(F9+G26+G30+F13+G27-F10-G28-G24-F12-G29))/100)</f>
        <v>7159.196799999997</v>
      </c>
      <c r="Z27" s="67">
        <f>(((R5*(F9+G26+G30-F10-G28-G25-G24))-100*(F9+G26+G30+F13-F10-G28-G24-F12-G29))/100)</f>
        <v>7159.196799999997</v>
      </c>
      <c r="AA27" s="68">
        <f t="shared" ref="AA27:AA28" si="0">IF(Y27&lt;=0,,Y27)</f>
        <v>7159.196799999997</v>
      </c>
    </row>
    <row r="28" spans="1:27" s="64" customFormat="1" ht="21.75" customHeight="1" x14ac:dyDescent="0.3">
      <c r="A28" s="88" t="s">
        <v>182</v>
      </c>
      <c r="B28" s="77"/>
      <c r="C28" s="219" t="s">
        <v>183</v>
      </c>
      <c r="D28" s="220"/>
      <c r="E28" s="220"/>
      <c r="F28" s="220"/>
      <c r="G28" s="71"/>
      <c r="H28" s="230"/>
      <c r="I28" s="231"/>
      <c r="L28" s="77"/>
      <c r="M28" s="81" t="s">
        <v>165</v>
      </c>
      <c r="N28" s="82"/>
      <c r="O28" s="82"/>
      <c r="P28" s="215">
        <f>Z27</f>
        <v>7159.196799999997</v>
      </c>
      <c r="Q28" s="216"/>
      <c r="R28" s="206">
        <f t="shared" ref="R28" si="1">IF(Y27&lt;=0,,Y27)</f>
        <v>7159.196799999997</v>
      </c>
      <c r="S28" s="207"/>
      <c r="X28" s="64" t="s">
        <v>184</v>
      </c>
      <c r="Y28" s="67">
        <f>(((R5*(F9+G26+G30-F10-G28-G25-G24))-(100*(F9+G26+G30+F13+G27-F10-G28-G24-F12-G29)))/(100-R5))</f>
        <v>89489.959999999963</v>
      </c>
      <c r="Z28" s="67">
        <f>(((R5*(F9+G26-F10-G28-G25-G24))-(100*(F9+G26+F13+G27-F10-G28-G24-F12-G29)))/(100-R5))</f>
        <v>89489.959999999963</v>
      </c>
      <c r="AA28" s="68">
        <f t="shared" si="0"/>
        <v>89489.959999999963</v>
      </c>
    </row>
    <row r="29" spans="1:27" s="64" customFormat="1" ht="21.75" customHeight="1" x14ac:dyDescent="0.3">
      <c r="A29" s="88" t="s">
        <v>185</v>
      </c>
      <c r="B29" s="77"/>
      <c r="C29" s="219" t="s">
        <v>186</v>
      </c>
      <c r="D29" s="220"/>
      <c r="E29" s="220"/>
      <c r="F29" s="220"/>
      <c r="G29" s="70"/>
      <c r="H29" s="230"/>
      <c r="I29" s="231"/>
      <c r="L29" s="267" t="s">
        <v>187</v>
      </c>
      <c r="M29" s="268"/>
      <c r="N29" s="268"/>
      <c r="O29" s="268"/>
      <c r="P29" s="268"/>
      <c r="Q29" s="268"/>
      <c r="R29" s="268"/>
      <c r="S29" s="269"/>
    </row>
    <row r="30" spans="1:27" s="64" customFormat="1" ht="21.75" customHeight="1" thickBot="1" x14ac:dyDescent="0.35">
      <c r="A30" s="88" t="s">
        <v>166</v>
      </c>
      <c r="B30" s="79"/>
      <c r="C30" s="221" t="s">
        <v>188</v>
      </c>
      <c r="D30" s="222"/>
      <c r="E30" s="222"/>
      <c r="F30" s="222"/>
      <c r="G30" s="72"/>
      <c r="H30" s="232"/>
      <c r="I30" s="233"/>
      <c r="L30" s="79"/>
      <c r="M30" s="83" t="s">
        <v>189</v>
      </c>
      <c r="N30" s="84"/>
      <c r="O30" s="84"/>
      <c r="P30" s="217">
        <f>Z28</f>
        <v>89489.959999999963</v>
      </c>
      <c r="Q30" s="218"/>
      <c r="R30" s="253">
        <f>IF(Y28&lt;=0,,Y28)</f>
        <v>89489.959999999963</v>
      </c>
      <c r="S30" s="218"/>
    </row>
    <row r="31" spans="1:27" s="64" customFormat="1" ht="21.75" customHeight="1" thickTop="1" x14ac:dyDescent="0.3"/>
    <row r="32" spans="1:27" s="64" customFormat="1" ht="21.75" customHeight="1" x14ac:dyDescent="0.3"/>
    <row r="33" spans="2:19" x14ac:dyDescent="0.3">
      <c r="B33" s="65"/>
      <c r="C33" s="65"/>
      <c r="D33" s="65"/>
      <c r="E33" s="65"/>
      <c r="F33" s="65"/>
      <c r="J33" s="64"/>
      <c r="K33" s="64"/>
      <c r="L33" s="64"/>
      <c r="M33" s="64"/>
      <c r="N33" s="64"/>
      <c r="O33" s="64"/>
      <c r="P33" s="64"/>
      <c r="Q33" s="64"/>
      <c r="R33" s="64"/>
      <c r="S33" s="64"/>
    </row>
    <row r="34" spans="2:19" hidden="1" x14ac:dyDescent="0.3">
      <c r="J34" s="64"/>
      <c r="K34" s="64"/>
      <c r="L34" s="64"/>
      <c r="M34" s="64"/>
      <c r="N34" s="64"/>
      <c r="O34" s="64"/>
      <c r="P34" s="64"/>
      <c r="Q34" s="64"/>
      <c r="R34" s="64"/>
      <c r="S34" s="64"/>
    </row>
    <row r="35" spans="2:19" hidden="1" x14ac:dyDescent="0.3">
      <c r="L35" s="64"/>
      <c r="M35" s="64"/>
      <c r="N35" s="64"/>
      <c r="O35" s="64"/>
      <c r="P35" s="64"/>
      <c r="Q35" s="64"/>
    </row>
  </sheetData>
  <sheetProtection algorithmName="SHA-512" hashValue="iKif4RmCGet5dvEdDIxYAFa5OrIjTPbNoCKrkMpllvplD9hozZTtbMRLecbMPpHk8O4OiDhumvclR08VgiVs9w==" saltValue="yfH8+w/xgnE1E+KdG8VbUg==" spinCount="100000" sheet="1" objects="1" scenarios="1" selectLockedCells="1"/>
  <mergeCells count="49">
    <mergeCell ref="R30:S30"/>
    <mergeCell ref="R23:S23"/>
    <mergeCell ref="R24:S25"/>
    <mergeCell ref="O6:Q6"/>
    <mergeCell ref="R26:S26"/>
    <mergeCell ref="P23:Q25"/>
    <mergeCell ref="P26:Q26"/>
    <mergeCell ref="P28:Q28"/>
    <mergeCell ref="P30:Q30"/>
    <mergeCell ref="K8:P8"/>
    <mergeCell ref="K9:P9"/>
    <mergeCell ref="K12:N12"/>
    <mergeCell ref="K14:N14"/>
    <mergeCell ref="P12:Q12"/>
    <mergeCell ref="L27:S27"/>
    <mergeCell ref="L29:S29"/>
    <mergeCell ref="C9:E9"/>
    <mergeCell ref="C10:E10"/>
    <mergeCell ref="C11:E11"/>
    <mergeCell ref="C12:E12"/>
    <mergeCell ref="J11:Q11"/>
    <mergeCell ref="A1:R1"/>
    <mergeCell ref="B7:F7"/>
    <mergeCell ref="D6:E6"/>
    <mergeCell ref="B8:E8"/>
    <mergeCell ref="O5:P5"/>
    <mergeCell ref="C5:F5"/>
    <mergeCell ref="B3:F3"/>
    <mergeCell ref="J3:Q3"/>
    <mergeCell ref="C30:F30"/>
    <mergeCell ref="C23:F23"/>
    <mergeCell ref="H23:I23"/>
    <mergeCell ref="H24:I30"/>
    <mergeCell ref="C24:F24"/>
    <mergeCell ref="C25:F25"/>
    <mergeCell ref="C26:F26"/>
    <mergeCell ref="C27:F27"/>
    <mergeCell ref="C28:F28"/>
    <mergeCell ref="C29:F29"/>
    <mergeCell ref="R28:S28"/>
    <mergeCell ref="C15:E15"/>
    <mergeCell ref="J13:Q13"/>
    <mergeCell ref="J15:Q15"/>
    <mergeCell ref="C21:E21"/>
    <mergeCell ref="K16:N16"/>
    <mergeCell ref="P14:Q14"/>
    <mergeCell ref="P16:Q16"/>
    <mergeCell ref="C13:E13"/>
    <mergeCell ref="C14:E14"/>
  </mergeCells>
  <conditionalFormatting sqref="H24:I30">
    <cfRule type="expression" dxfId="11" priority="4">
      <formula>OR($H$24=0%,$H$24=90%,$H$24&gt;90%)</formula>
    </cfRule>
    <cfRule type="cellIs" dxfId="10" priority="5" operator="between">
      <formula>70%</formula>
      <formula>89.99%</formula>
    </cfRule>
    <cfRule type="cellIs" dxfId="9" priority="6" operator="lessThanOrEqual">
      <formula>69.99%</formula>
    </cfRule>
  </conditionalFormatting>
  <conditionalFormatting sqref="R26:S26">
    <cfRule type="cellIs" dxfId="8" priority="3" operator="lessThanOrEqual">
      <formula>0</formula>
    </cfRule>
  </conditionalFormatting>
  <conditionalFormatting sqref="R28:S28">
    <cfRule type="cellIs" dxfId="7" priority="2" operator="lessThanOrEqual">
      <formula>0</formula>
    </cfRule>
  </conditionalFormatting>
  <conditionalFormatting sqref="R30:S30">
    <cfRule type="cellIs" dxfId="6" priority="1" operator="lessThanOrEqual">
      <formula>0</formula>
    </cfRule>
  </conditionalFormatting>
  <dataValidations count="3">
    <dataValidation type="decimal" operator="lessThanOrEqual" allowBlank="1" showInputMessage="1" showErrorMessage="1" errorTitle="Invalid persistency" error="Value should be between 1 - 100" prompt="Enter a persistency between 1 &amp; 100" sqref="O5:P5" xr:uid="{9B20B107-1D93-48FF-8007-BC4896D8E6C0}">
      <formula1>100</formula1>
    </dataValidation>
    <dataValidation type="date" operator="lessThanOrEqual" allowBlank="1" showInputMessage="1" showErrorMessage="1" promptTitle="Report Date" prompt="Enter your report date" sqref="D6:E6" xr:uid="{4001C032-2122-407F-9378-EBD2A3757370}">
      <formula1>TODAY()</formula1>
    </dataValidation>
    <dataValidation type="date" operator="greaterThanOrEqual" allowBlank="1" showInputMessage="1" showErrorMessage="1" errorTitle="Invalid Date" error="Date cannot be less than the report date" prompt="Enter a the date you want to achieve your target persistency" sqref="O6:Q6" xr:uid="{342194A2-C51F-493B-8F9C-35B2AE15DB28}">
      <formula1>D6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2B57-093B-4EA1-B027-D3C6C9D3369B}">
  <sheetPr>
    <tabColor theme="8" tint="0.39997558519241921"/>
  </sheetPr>
  <dimension ref="A1:AG262"/>
  <sheetViews>
    <sheetView showGridLines="0" topLeftCell="K8" workbookViewId="0">
      <selection activeCell="S13" sqref="S13"/>
    </sheetView>
  </sheetViews>
  <sheetFormatPr defaultColWidth="9.109375" defaultRowHeight="14.4" zeroHeight="1" x14ac:dyDescent="0.3"/>
  <cols>
    <col min="1" max="1" width="6.33203125" style="4" customWidth="1"/>
    <col min="2" max="4" width="15.5546875" customWidth="1"/>
    <col min="5" max="5" width="23.6640625" customWidth="1"/>
    <col min="6" max="9" width="22.6640625" customWidth="1"/>
    <col min="10" max="10" width="17" customWidth="1"/>
    <col min="11" max="11" width="16.5546875" customWidth="1"/>
    <col min="12" max="12" width="15.88671875" customWidth="1"/>
    <col min="13" max="17" width="18" customWidth="1"/>
    <col min="18" max="18" width="18.88671875" customWidth="1"/>
    <col min="19" max="19" width="17.5546875" customWidth="1"/>
    <col min="20" max="20" width="19.88671875" customWidth="1"/>
    <col min="21" max="21" width="18.88671875" customWidth="1"/>
    <col min="22" max="22" width="19.88671875" customWidth="1"/>
    <col min="23" max="23" width="61.44140625" customWidth="1"/>
    <col min="24" max="25" width="9.109375" style="22" customWidth="1"/>
    <col min="26" max="27" width="9.109375" customWidth="1"/>
    <col min="28" max="28" width="15.33203125" customWidth="1"/>
    <col min="29" max="29" width="20.6640625" customWidth="1"/>
    <col min="30" max="30" width="18.33203125" customWidth="1"/>
    <col min="31" max="31" width="18.5546875" customWidth="1"/>
    <col min="32" max="33" width="9.109375" customWidth="1"/>
    <col min="35" max="35" width="15.33203125" customWidth="1"/>
    <col min="36" max="36" width="20.6640625" customWidth="1"/>
    <col min="37" max="37" width="13.5546875" customWidth="1"/>
    <col min="41" max="41" width="20.6640625" customWidth="1"/>
    <col min="42" max="42" width="13.5546875" customWidth="1"/>
    <col min="47" max="47" width="15.33203125" customWidth="1"/>
    <col min="48" max="48" width="20.6640625" customWidth="1"/>
    <col min="49" max="49" width="13.5546875" customWidth="1"/>
    <col min="56" max="56" width="15.33203125" customWidth="1"/>
    <col min="57" max="57" width="20.6640625" customWidth="1"/>
    <col min="58" max="58" width="13.5546875" customWidth="1"/>
  </cols>
  <sheetData>
    <row r="1" spans="1:33" s="22" customFormat="1" ht="61.2" hidden="1" x14ac:dyDescent="0.3">
      <c r="A1" s="21"/>
      <c r="B1" s="21"/>
      <c r="C1" s="21"/>
      <c r="D1" s="21"/>
      <c r="E1" s="277" t="s">
        <v>190</v>
      </c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195"/>
      <c r="T1" s="195"/>
      <c r="U1" s="195"/>
      <c r="V1" s="195"/>
      <c r="W1" s="21"/>
    </row>
    <row r="2" spans="1:33" s="22" customFormat="1" hidden="1" x14ac:dyDescent="0.3">
      <c r="A2" s="23"/>
    </row>
    <row r="3" spans="1:33" s="22" customFormat="1" ht="15" customHeight="1" x14ac:dyDescent="0.3">
      <c r="A3" s="24" t="s">
        <v>62</v>
      </c>
      <c r="B3" s="25" t="s">
        <v>63</v>
      </c>
      <c r="C3" s="197"/>
      <c r="D3" s="197"/>
      <c r="E3" s="275" t="s">
        <v>64</v>
      </c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194"/>
      <c r="T3" s="194"/>
      <c r="U3" s="194"/>
      <c r="V3" s="194"/>
    </row>
    <row r="4" spans="1:33" s="22" customFormat="1" ht="15" customHeight="1" x14ac:dyDescent="0.3">
      <c r="A4" s="23"/>
      <c r="B4" s="26" t="s">
        <v>65</v>
      </c>
      <c r="C4" s="198"/>
      <c r="D4" s="198"/>
      <c r="E4" s="275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194"/>
      <c r="T4" s="194"/>
      <c r="U4" s="194"/>
      <c r="V4" s="194"/>
    </row>
    <row r="5" spans="1:33" s="22" customFormat="1" ht="15" customHeight="1" x14ac:dyDescent="0.3">
      <c r="A5" s="23"/>
      <c r="B5" s="27" t="s">
        <v>66</v>
      </c>
      <c r="C5" s="199"/>
      <c r="D5" s="199"/>
      <c r="E5" s="275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194"/>
      <c r="T5" s="194"/>
      <c r="U5" s="194"/>
      <c r="V5" s="194"/>
    </row>
    <row r="6" spans="1:33" s="22" customFormat="1" ht="15" customHeight="1" x14ac:dyDescent="0.3">
      <c r="A6" s="23"/>
      <c r="B6" s="33" t="s">
        <v>67</v>
      </c>
      <c r="C6" s="200"/>
      <c r="D6" s="200"/>
      <c r="E6" s="275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194"/>
      <c r="T6" s="194"/>
      <c r="U6" s="194"/>
      <c r="V6" s="194"/>
    </row>
    <row r="7" spans="1:33" s="22" customFormat="1" ht="15" customHeight="1" x14ac:dyDescent="0.3">
      <c r="A7" s="23"/>
      <c r="B7" s="33" t="s">
        <v>68</v>
      </c>
      <c r="C7" s="200"/>
      <c r="D7" s="200"/>
      <c r="E7" s="275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194"/>
      <c r="T7" s="194"/>
      <c r="U7" s="194"/>
      <c r="V7" s="194"/>
    </row>
    <row r="8" spans="1:33" s="22" customFormat="1" ht="15.75" customHeight="1" x14ac:dyDescent="0.3">
      <c r="A8" s="23"/>
      <c r="B8" s="28" t="s">
        <v>69</v>
      </c>
      <c r="C8" s="201"/>
      <c r="D8" s="201"/>
      <c r="E8" s="275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194"/>
      <c r="T8" s="194"/>
      <c r="U8" s="194"/>
      <c r="V8" s="194"/>
    </row>
    <row r="9" spans="1:33" s="22" customFormat="1" ht="15.6" hidden="1" x14ac:dyDescent="0.3">
      <c r="A9" s="23"/>
      <c r="B9" s="29"/>
      <c r="C9" s="29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33" s="22" customFormat="1" hidden="1" x14ac:dyDescent="0.3">
      <c r="A10" s="23"/>
    </row>
    <row r="11" spans="1:33" s="10" customFormat="1" ht="57" customHeight="1" x14ac:dyDescent="0.3">
      <c r="B11" s="284" t="s">
        <v>70</v>
      </c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6"/>
      <c r="S11" s="196"/>
      <c r="T11" s="196"/>
      <c r="U11" s="196"/>
      <c r="V11" s="196"/>
      <c r="W11" s="13"/>
      <c r="X11" s="31"/>
      <c r="Y11" s="31"/>
    </row>
    <row r="12" spans="1:33" s="1" customFormat="1" ht="84" customHeight="1" x14ac:dyDescent="0.3">
      <c r="B12" s="5" t="s">
        <v>191</v>
      </c>
      <c r="C12" s="5" t="s">
        <v>192</v>
      </c>
      <c r="D12" s="5" t="s">
        <v>193</v>
      </c>
      <c r="E12" s="5" t="s">
        <v>40</v>
      </c>
      <c r="F12" s="5" t="s">
        <v>41</v>
      </c>
      <c r="G12" s="5" t="s">
        <v>194</v>
      </c>
      <c r="H12" s="5" t="s">
        <v>195</v>
      </c>
      <c r="I12" s="5" t="s">
        <v>196</v>
      </c>
      <c r="J12" s="5" t="s">
        <v>197</v>
      </c>
      <c r="K12" s="5" t="s">
        <v>198</v>
      </c>
      <c r="L12" s="5" t="s">
        <v>199</v>
      </c>
      <c r="M12" s="5" t="s">
        <v>200</v>
      </c>
      <c r="N12" s="5" t="s">
        <v>201</v>
      </c>
      <c r="O12" s="5" t="s">
        <v>202</v>
      </c>
      <c r="P12" s="5" t="s">
        <v>203</v>
      </c>
      <c r="Q12" s="5" t="s">
        <v>204</v>
      </c>
      <c r="R12" s="5" t="s">
        <v>205</v>
      </c>
      <c r="S12" s="5" t="s">
        <v>206</v>
      </c>
      <c r="T12" s="5" t="s">
        <v>207</v>
      </c>
      <c r="U12" s="5" t="s">
        <v>208</v>
      </c>
      <c r="V12" s="5" t="s">
        <v>209</v>
      </c>
      <c r="W12" s="14" t="s">
        <v>105</v>
      </c>
      <c r="X12" s="32"/>
      <c r="Y12" s="32"/>
      <c r="AA12" s="1" t="s">
        <v>192</v>
      </c>
      <c r="AB12" s="1" t="s">
        <v>74</v>
      </c>
      <c r="AC12" s="1" t="s">
        <v>195</v>
      </c>
      <c r="AD12" s="1" t="s">
        <v>196</v>
      </c>
      <c r="AE12" s="1" t="s">
        <v>210</v>
      </c>
      <c r="AF12" s="1" t="s">
        <v>108</v>
      </c>
      <c r="AG12" s="1" t="s">
        <v>109</v>
      </c>
    </row>
    <row r="13" spans="1:33" s="4" customFormat="1" ht="20.100000000000001" customHeight="1" x14ac:dyDescent="0.3">
      <c r="A13" s="20"/>
      <c r="B13" s="15"/>
      <c r="C13" s="15"/>
      <c r="D13" s="202">
        <v>6000</v>
      </c>
      <c r="E13" s="15"/>
      <c r="F13" s="15"/>
      <c r="G13" s="15"/>
      <c r="H13" s="15"/>
      <c r="I13" s="15"/>
      <c r="J13" s="203"/>
      <c r="K13" s="203">
        <v>45083</v>
      </c>
      <c r="L13" s="203">
        <f>IF(ISBLANK(Table35[[#This Row],[Paid to Date]]),"",DATE(YEAR(Table35[[#This Row],[Paid to Date]]),MONTH(Table35[[#This Row],[Paid to Date]]),DAY(Table35[[#This Row],[Paid to Date]])+90))</f>
        <v>45173</v>
      </c>
      <c r="M13" s="15"/>
      <c r="N13" s="15"/>
      <c r="O13" s="15"/>
      <c r="P13" s="203">
        <f>IFERROR(DATE(YEAR(Table35[[#This Row],[Lapsed Date]]),MONTH(Table35[[#This Row],[Lapsed Date]]),DAY(Table35[[#This Row],[Lapsed Date]])+20),"")</f>
        <v>45193</v>
      </c>
      <c r="Q13" s="203">
        <f>IFERROR(EDATE(Table35[[#This Row],[Lapsed Date]],12),"")</f>
        <v>45539</v>
      </c>
      <c r="R13" s="203">
        <f>IFERROR(EDATE(Table35[[#This Row],[Lapsed Date]],24),"")</f>
        <v>45904</v>
      </c>
      <c r="S13" s="205">
        <f ca="1">DATEDIF(Table35[[#This Row],[Paid to Date]],TODAY(), "M")</f>
        <v>35</v>
      </c>
      <c r="T13" s="202">
        <f ca="1">Table35[[#This Row],[Number of Monthly premiums missing]]*(Table35[[#This Row],[Lapsed API]]/12)</f>
        <v>17500</v>
      </c>
      <c r="U13" s="204">
        <f>(Table35[[#This Row],[Lapsed API]]/12)*3</f>
        <v>1500</v>
      </c>
      <c r="V13" s="15"/>
      <c r="W13" s="19"/>
      <c r="X13" s="23"/>
      <c r="Y13" s="23"/>
    </row>
    <row r="14" spans="1:33" ht="20.100000000000001" customHeight="1" x14ac:dyDescent="0.3">
      <c r="A14" s="2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203" t="str">
        <f>IF(ISBLANK(Table35[[#This Row],[Paid to Date]]),"",DATE(YEAR(Table35[[#This Row],[Paid to Date]]),MONTH(Table35[[#This Row],[Paid to Date]]),DAY(Table35[[#This Row],[Paid to Date]])+90))</f>
        <v/>
      </c>
      <c r="M14" s="15"/>
      <c r="N14" s="15"/>
      <c r="O14" s="15"/>
      <c r="P14" s="203" t="str">
        <f>IFERROR(DATE(YEAR(Table35[[#This Row],[Lapsed Date]]),MONTH(Table35[[#This Row],[Lapsed Date]]),DAY(Table35[[#This Row],[Lapsed Date]])+20),"")</f>
        <v/>
      </c>
      <c r="Q14" s="203" t="str">
        <f>IFERROR(EDATE(Table35[[#This Row],[Lapsed Date]],12),"")</f>
        <v/>
      </c>
      <c r="R14" s="203" t="str">
        <f>IFERROR(EDATE(Table35[[#This Row],[Lapsed Date]],24),"")</f>
        <v/>
      </c>
      <c r="S14" s="205">
        <f ca="1">DATEDIF(Table35[[#This Row],[Paid to Date]],TODAY(), "M")</f>
        <v>1516</v>
      </c>
      <c r="T14" s="203">
        <f ca="1">Table35[[#This Row],[Number of Monthly premiums missing]]*(Table35[[#This Row],[Lapsed API]]/12)</f>
        <v>0</v>
      </c>
      <c r="U14" s="204">
        <f>(Table35[[#This Row],[Lapsed API]]/12)*3</f>
        <v>0</v>
      </c>
      <c r="V14" s="15"/>
      <c r="W14" s="19"/>
      <c r="AA14" t="s">
        <v>211</v>
      </c>
      <c r="AB14" t="s">
        <v>63</v>
      </c>
      <c r="AC14" t="s">
        <v>212</v>
      </c>
      <c r="AD14" t="s">
        <v>213</v>
      </c>
      <c r="AE14" t="s">
        <v>214</v>
      </c>
      <c r="AF14" t="s">
        <v>114</v>
      </c>
      <c r="AG14">
        <v>1</v>
      </c>
    </row>
    <row r="15" spans="1:33" ht="20.100000000000001" customHeight="1" x14ac:dyDescent="0.3">
      <c r="A15" s="20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203" t="str">
        <f>IF(ISBLANK(Table35[[#This Row],[Paid to Date]]),"",DATE(YEAR(Table35[[#This Row],[Paid to Date]]),MONTH(Table35[[#This Row],[Paid to Date]]),DAY(Table35[[#This Row],[Paid to Date]])+90))</f>
        <v/>
      </c>
      <c r="M15" s="15"/>
      <c r="N15" s="15"/>
      <c r="O15" s="15"/>
      <c r="P15" s="203" t="str">
        <f>IFERROR(DATE(YEAR(Table35[[#This Row],[Lapsed Date]]),MONTH(Table35[[#This Row],[Lapsed Date]]),DAY(Table35[[#This Row],[Lapsed Date]])+20),"")</f>
        <v/>
      </c>
      <c r="Q15" s="203" t="str">
        <f>IFERROR(EDATE(Table35[[#This Row],[Lapsed Date]],12),"")</f>
        <v/>
      </c>
      <c r="R15" s="203" t="str">
        <f>IFERROR(EDATE(Table35[[#This Row],[Lapsed Date]],24),"")</f>
        <v/>
      </c>
      <c r="S15" s="205">
        <f ca="1">DATEDIF(Table35[[#This Row],[Paid to Date]],TODAY(), "M")</f>
        <v>1516</v>
      </c>
      <c r="T15" s="203">
        <f ca="1">Table35[[#This Row],[Number of Monthly premiums missing]]*(Table35[[#This Row],[Lapsed API]]/12)</f>
        <v>0</v>
      </c>
      <c r="U15" s="204" t="s">
        <v>215</v>
      </c>
      <c r="V15" s="15"/>
      <c r="W15" s="19"/>
      <c r="AA15" t="s">
        <v>216</v>
      </c>
      <c r="AB15" t="s">
        <v>65</v>
      </c>
      <c r="AC15" t="s">
        <v>217</v>
      </c>
      <c r="AD15" t="s">
        <v>218</v>
      </c>
      <c r="AE15" t="s">
        <v>219</v>
      </c>
      <c r="AF15" t="s">
        <v>110</v>
      </c>
      <c r="AG15">
        <v>2</v>
      </c>
    </row>
    <row r="16" spans="1:33" ht="20.100000000000001" customHeight="1" x14ac:dyDescent="0.3">
      <c r="A16" s="20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203" t="str">
        <f>IF(ISBLANK(Table35[[#This Row],[Paid to Date]]),"",DATE(YEAR(Table35[[#This Row],[Paid to Date]]),MONTH(Table35[[#This Row],[Paid to Date]]),DAY(Table35[[#This Row],[Paid to Date]])+90))</f>
        <v/>
      </c>
      <c r="M16" s="15"/>
      <c r="N16" s="15"/>
      <c r="O16" s="15"/>
      <c r="P16" s="203" t="str">
        <f>IFERROR(DATE(YEAR(Table35[[#This Row],[Lapsed Date]]),MONTH(Table35[[#This Row],[Lapsed Date]]),DAY(Table35[[#This Row],[Lapsed Date]])+20),"")</f>
        <v/>
      </c>
      <c r="Q16" s="203" t="str">
        <f>IFERROR(EDATE(Table35[[#This Row],[Lapsed Date]],12),"")</f>
        <v/>
      </c>
      <c r="R16" s="203" t="str">
        <f>IFERROR(EDATE(Table35[[#This Row],[Lapsed Date]],24),"")</f>
        <v/>
      </c>
      <c r="S16" s="205">
        <f ca="1">DATEDIF(Table35[[#This Row],[Paid to Date]],TODAY(), "M")</f>
        <v>1516</v>
      </c>
      <c r="T16" s="203">
        <f ca="1">Table35[[#This Row],[Number of Monthly premiums missing]]*(Table35[[#This Row],[Lapsed API]]/12)</f>
        <v>0</v>
      </c>
      <c r="U16" s="204">
        <f>(Table35[[#This Row],[Lapsed API]]/12)*3</f>
        <v>0</v>
      </c>
      <c r="V16" s="15"/>
      <c r="W16" s="19"/>
      <c r="AA16" t="s">
        <v>220</v>
      </c>
      <c r="AB16" t="s">
        <v>66</v>
      </c>
      <c r="AC16" t="s">
        <v>46</v>
      </c>
      <c r="AD16" t="s">
        <v>221</v>
      </c>
      <c r="AE16" t="s">
        <v>222</v>
      </c>
      <c r="AF16" t="s">
        <v>120</v>
      </c>
      <c r="AG16">
        <v>3</v>
      </c>
    </row>
    <row r="17" spans="1:33" ht="20.100000000000001" customHeight="1" x14ac:dyDescent="0.3">
      <c r="A17" s="2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03" t="str">
        <f>IF(ISBLANK(Table35[[#This Row],[Paid to Date]]),"",DATE(YEAR(Table35[[#This Row],[Paid to Date]]),MONTH(Table35[[#This Row],[Paid to Date]]),DAY(Table35[[#This Row],[Paid to Date]])+90))</f>
        <v/>
      </c>
      <c r="M17" s="15"/>
      <c r="N17" s="15"/>
      <c r="O17" s="15"/>
      <c r="P17" s="203" t="str">
        <f>IFERROR(DATE(YEAR(Table35[[#This Row],[Lapsed Date]]),MONTH(Table35[[#This Row],[Lapsed Date]]),DAY(Table35[[#This Row],[Lapsed Date]])+20),"")</f>
        <v/>
      </c>
      <c r="Q17" s="203" t="str">
        <f>IFERROR(EDATE(Table35[[#This Row],[Lapsed Date]],12),"")</f>
        <v/>
      </c>
      <c r="R17" s="203" t="str">
        <f>IFERROR(EDATE(Table35[[#This Row],[Lapsed Date]],24),"")</f>
        <v/>
      </c>
      <c r="S17" s="205">
        <f ca="1">DATEDIF(Table35[[#This Row],[Paid to Date]],TODAY(), "M")</f>
        <v>1516</v>
      </c>
      <c r="T17" s="203">
        <f ca="1">Table35[[#This Row],[Number of Monthly premiums missing]]*(Table35[[#This Row],[Lapsed API]]/12)</f>
        <v>0</v>
      </c>
      <c r="U17" s="204">
        <f>(Table35[[#This Row],[Lapsed API]]/12)*3</f>
        <v>0</v>
      </c>
      <c r="V17" s="15"/>
      <c r="W17" s="19"/>
      <c r="AB17" t="s">
        <v>67</v>
      </c>
      <c r="AC17" t="s">
        <v>45</v>
      </c>
      <c r="AD17" t="s">
        <v>223</v>
      </c>
      <c r="AE17" t="s">
        <v>224</v>
      </c>
      <c r="AG17">
        <v>4</v>
      </c>
    </row>
    <row r="18" spans="1:33" ht="20.100000000000001" customHeight="1" x14ac:dyDescent="0.3">
      <c r="A18" s="20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203" t="str">
        <f>IF(ISBLANK(Table35[[#This Row],[Paid to Date]]),"",DATE(YEAR(Table35[[#This Row],[Paid to Date]]),MONTH(Table35[[#This Row],[Paid to Date]]),DAY(Table35[[#This Row],[Paid to Date]])+90))</f>
        <v/>
      </c>
      <c r="M18" s="15"/>
      <c r="N18" s="15"/>
      <c r="O18" s="15"/>
      <c r="P18" s="203" t="str">
        <f>IFERROR(DATE(YEAR(Table35[[#This Row],[Lapsed Date]]),MONTH(Table35[[#This Row],[Lapsed Date]]),DAY(Table35[[#This Row],[Lapsed Date]])+20),"")</f>
        <v/>
      </c>
      <c r="Q18" s="203" t="str">
        <f>IFERROR(EDATE(Table35[[#This Row],[Lapsed Date]],12),"")</f>
        <v/>
      </c>
      <c r="R18" s="203" t="str">
        <f>IFERROR(EDATE(Table35[[#This Row],[Lapsed Date]],24),"")</f>
        <v/>
      </c>
      <c r="S18" s="205">
        <f ca="1">DATEDIF(Table35[[#This Row],[Paid to Date]],TODAY(), "M")</f>
        <v>1516</v>
      </c>
      <c r="T18" s="203">
        <f ca="1">Table35[[#This Row],[Number of Monthly premiums missing]]*(Table35[[#This Row],[Lapsed API]]/12)</f>
        <v>0</v>
      </c>
      <c r="U18" s="204">
        <f>(Table35[[#This Row],[Lapsed API]]/12)*3</f>
        <v>0</v>
      </c>
      <c r="V18" s="15"/>
      <c r="W18" s="19"/>
      <c r="AB18" t="s">
        <v>69</v>
      </c>
      <c r="AC18" t="s">
        <v>44</v>
      </c>
      <c r="AD18" t="s">
        <v>225</v>
      </c>
      <c r="AE18" t="s">
        <v>226</v>
      </c>
      <c r="AG18" t="s">
        <v>125</v>
      </c>
    </row>
    <row r="19" spans="1:33" ht="20.100000000000001" customHeight="1" x14ac:dyDescent="0.3">
      <c r="A19" s="2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203" t="str">
        <f>IF(ISBLANK(Table35[[#This Row],[Paid to Date]]),"",DATE(YEAR(Table35[[#This Row],[Paid to Date]]),MONTH(Table35[[#This Row],[Paid to Date]]),DAY(Table35[[#This Row],[Paid to Date]])+90))</f>
        <v/>
      </c>
      <c r="M19" s="15"/>
      <c r="N19" s="15"/>
      <c r="O19" s="15"/>
      <c r="P19" s="203" t="str">
        <f>IFERROR(DATE(YEAR(Table35[[#This Row],[Lapsed Date]]),MONTH(Table35[[#This Row],[Lapsed Date]]),DAY(Table35[[#This Row],[Lapsed Date]])+20),"")</f>
        <v/>
      </c>
      <c r="Q19" s="203" t="str">
        <f>IFERROR(EDATE(Table35[[#This Row],[Lapsed Date]],12),"")</f>
        <v/>
      </c>
      <c r="R19" s="203" t="str">
        <f>IFERROR(EDATE(Table35[[#This Row],[Lapsed Date]],24),"")</f>
        <v/>
      </c>
      <c r="S19" s="205">
        <f ca="1">DATEDIF(Table35[[#This Row],[Paid to Date]],TODAY(), "M")</f>
        <v>1516</v>
      </c>
      <c r="T19" s="203">
        <f ca="1">Table35[[#This Row],[Number of Monthly premiums missing]]*(Table35[[#This Row],[Lapsed API]]/12)</f>
        <v>0</v>
      </c>
      <c r="U19" s="204">
        <f>(Table35[[#This Row],[Lapsed API]]/12)*3</f>
        <v>0</v>
      </c>
      <c r="V19" s="15"/>
      <c r="W19" s="19"/>
      <c r="AB19" t="s">
        <v>227</v>
      </c>
      <c r="AC19" t="s">
        <v>228</v>
      </c>
      <c r="AD19" t="s">
        <v>229</v>
      </c>
      <c r="AE19" t="s">
        <v>230</v>
      </c>
    </row>
    <row r="20" spans="1:33" ht="20.100000000000001" customHeight="1" x14ac:dyDescent="0.3">
      <c r="A20" s="2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203" t="str">
        <f>IF(ISBLANK(Table35[[#This Row],[Paid to Date]]),"",DATE(YEAR(Table35[[#This Row],[Paid to Date]]),MONTH(Table35[[#This Row],[Paid to Date]]),DAY(Table35[[#This Row],[Paid to Date]])+90))</f>
        <v/>
      </c>
      <c r="M20" s="15"/>
      <c r="N20" s="15"/>
      <c r="O20" s="15"/>
      <c r="P20" s="203" t="str">
        <f>IFERROR(DATE(YEAR(Table35[[#This Row],[Lapsed Date]]),MONTH(Table35[[#This Row],[Lapsed Date]]),DAY(Table35[[#This Row],[Lapsed Date]])+20),"")</f>
        <v/>
      </c>
      <c r="Q20" s="203" t="str">
        <f>IFERROR(EDATE(Table35[[#This Row],[Lapsed Date]],12),"")</f>
        <v/>
      </c>
      <c r="R20" s="203" t="str">
        <f>IFERROR(EDATE(Table35[[#This Row],[Lapsed Date]],24),"")</f>
        <v/>
      </c>
      <c r="S20" s="205">
        <f ca="1">DATEDIF(Table35[[#This Row],[Paid to Date]],TODAY(), "M")</f>
        <v>1516</v>
      </c>
      <c r="T20" s="203">
        <f ca="1">Table35[[#This Row],[Number of Monthly premiums missing]]*(Table35[[#This Row],[Lapsed API]]/12)</f>
        <v>0</v>
      </c>
      <c r="U20" s="204">
        <f>(Table35[[#This Row],[Lapsed API]]/12)*3</f>
        <v>0</v>
      </c>
      <c r="V20" s="15"/>
      <c r="W20" s="19"/>
      <c r="AB20" t="s">
        <v>231</v>
      </c>
      <c r="AC20" t="s">
        <v>232</v>
      </c>
      <c r="AD20" t="s">
        <v>134</v>
      </c>
      <c r="AE20" t="s">
        <v>233</v>
      </c>
    </row>
    <row r="21" spans="1:33" ht="20.100000000000001" customHeight="1" x14ac:dyDescent="0.3">
      <c r="A21" s="20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203" t="str">
        <f>IF(ISBLANK(Table35[[#This Row],[Paid to Date]]),"",DATE(YEAR(Table35[[#This Row],[Paid to Date]]),MONTH(Table35[[#This Row],[Paid to Date]]),DAY(Table35[[#This Row],[Paid to Date]])+90))</f>
        <v/>
      </c>
      <c r="M21" s="15"/>
      <c r="N21" s="15"/>
      <c r="O21" s="15"/>
      <c r="P21" s="203" t="str">
        <f>IFERROR(DATE(YEAR(Table35[[#This Row],[Lapsed Date]]),MONTH(Table35[[#This Row],[Lapsed Date]]),DAY(Table35[[#This Row],[Lapsed Date]])+20),"")</f>
        <v/>
      </c>
      <c r="Q21" s="203" t="str">
        <f>IFERROR(EDATE(Table35[[#This Row],[Lapsed Date]],12),"")</f>
        <v/>
      </c>
      <c r="R21" s="203" t="str">
        <f>IFERROR(EDATE(Table35[[#This Row],[Lapsed Date]],24),"")</f>
        <v/>
      </c>
      <c r="S21" s="205">
        <f ca="1">DATEDIF(Table35[[#This Row],[Paid to Date]],TODAY(), "M")</f>
        <v>1516</v>
      </c>
      <c r="T21" s="203">
        <f ca="1">Table35[[#This Row],[Number of Monthly premiums missing]]*(Table35[[#This Row],[Lapsed API]]/12)</f>
        <v>0</v>
      </c>
      <c r="U21" s="204">
        <f>(Table35[[#This Row],[Lapsed API]]/12)*3</f>
        <v>0</v>
      </c>
      <c r="V21" s="15"/>
      <c r="W21" s="19"/>
      <c r="AC21" t="s">
        <v>234</v>
      </c>
      <c r="AE21" t="s">
        <v>134</v>
      </c>
    </row>
    <row r="22" spans="1:33" ht="20.100000000000001" customHeight="1" x14ac:dyDescent="0.3">
      <c r="A22" s="2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203" t="str">
        <f>IF(ISBLANK(Table35[[#This Row],[Paid to Date]]),"",DATE(YEAR(Table35[[#This Row],[Paid to Date]]),MONTH(Table35[[#This Row],[Paid to Date]]),DAY(Table35[[#This Row],[Paid to Date]])+90))</f>
        <v/>
      </c>
      <c r="M22" s="15"/>
      <c r="N22" s="15"/>
      <c r="O22" s="15"/>
      <c r="P22" s="203" t="str">
        <f>IFERROR(DATE(YEAR(Table35[[#This Row],[Lapsed Date]]),MONTH(Table35[[#This Row],[Lapsed Date]]),DAY(Table35[[#This Row],[Lapsed Date]])+20),"")</f>
        <v/>
      </c>
      <c r="Q22" s="203" t="str">
        <f>IFERROR(EDATE(Table35[[#This Row],[Lapsed Date]],12),"")</f>
        <v/>
      </c>
      <c r="R22" s="203" t="str">
        <f>IFERROR(EDATE(Table35[[#This Row],[Lapsed Date]],24),"")</f>
        <v/>
      </c>
      <c r="S22" s="205">
        <f ca="1">DATEDIF(Table35[[#This Row],[Paid to Date]],TODAY(), "M")</f>
        <v>1516</v>
      </c>
      <c r="T22" s="203">
        <f ca="1">Table35[[#This Row],[Number of Monthly premiums missing]]*(Table35[[#This Row],[Lapsed API]]/12)</f>
        <v>0</v>
      </c>
      <c r="U22" s="204">
        <f>(Table35[[#This Row],[Lapsed API]]/12)*3</f>
        <v>0</v>
      </c>
      <c r="V22" s="15"/>
      <c r="W22" s="19"/>
      <c r="AC22" t="s">
        <v>48</v>
      </c>
    </row>
    <row r="23" spans="1:33" ht="20.100000000000001" customHeight="1" x14ac:dyDescent="0.3">
      <c r="A23" s="20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203" t="str">
        <f>IF(ISBLANK(Table35[[#This Row],[Paid to Date]]),"",DATE(YEAR(Table35[[#This Row],[Paid to Date]]),MONTH(Table35[[#This Row],[Paid to Date]]),DAY(Table35[[#This Row],[Paid to Date]])+90))</f>
        <v/>
      </c>
      <c r="M23" s="15"/>
      <c r="N23" s="15"/>
      <c r="O23" s="15"/>
      <c r="P23" s="203" t="str">
        <f>IFERROR(DATE(YEAR(Table35[[#This Row],[Lapsed Date]]),MONTH(Table35[[#This Row],[Lapsed Date]]),DAY(Table35[[#This Row],[Lapsed Date]])+20),"")</f>
        <v/>
      </c>
      <c r="Q23" s="203" t="str">
        <f>IFERROR(EDATE(Table35[[#This Row],[Lapsed Date]],12),"")</f>
        <v/>
      </c>
      <c r="R23" s="203" t="str">
        <f>IFERROR(EDATE(Table35[[#This Row],[Lapsed Date]],24),"")</f>
        <v/>
      </c>
      <c r="S23" s="205">
        <f ca="1">DATEDIF(Table35[[#This Row],[Paid to Date]],TODAY(), "M")</f>
        <v>1516</v>
      </c>
      <c r="T23" s="203">
        <f ca="1">Table35[[#This Row],[Number of Monthly premiums missing]]*(Table35[[#This Row],[Lapsed API]]/12)</f>
        <v>0</v>
      </c>
      <c r="U23" s="204">
        <f>(Table35[[#This Row],[Lapsed API]]/12)*3</f>
        <v>0</v>
      </c>
      <c r="V23" s="15"/>
      <c r="W23" s="19"/>
      <c r="AC23" t="s">
        <v>235</v>
      </c>
    </row>
    <row r="24" spans="1:33" ht="20.100000000000001" customHeight="1" x14ac:dyDescent="0.3">
      <c r="A24" s="20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203" t="str">
        <f>IF(ISBLANK(Table35[[#This Row],[Paid to Date]]),"",DATE(YEAR(Table35[[#This Row],[Paid to Date]]),MONTH(Table35[[#This Row],[Paid to Date]]),DAY(Table35[[#This Row],[Paid to Date]])+90))</f>
        <v/>
      </c>
      <c r="M24" s="15"/>
      <c r="N24" s="15"/>
      <c r="O24" s="15"/>
      <c r="P24" s="203" t="str">
        <f>IFERROR(DATE(YEAR(Table35[[#This Row],[Lapsed Date]]),MONTH(Table35[[#This Row],[Lapsed Date]]),DAY(Table35[[#This Row],[Lapsed Date]])+20),"")</f>
        <v/>
      </c>
      <c r="Q24" s="203" t="str">
        <f>IFERROR(EDATE(Table35[[#This Row],[Lapsed Date]],12),"")</f>
        <v/>
      </c>
      <c r="R24" s="203" t="str">
        <f>IFERROR(EDATE(Table35[[#This Row],[Lapsed Date]],24),"")</f>
        <v/>
      </c>
      <c r="S24" s="205">
        <f ca="1">DATEDIF(Table35[[#This Row],[Paid to Date]],TODAY(), "M")</f>
        <v>1516</v>
      </c>
      <c r="T24" s="203">
        <f ca="1">Table35[[#This Row],[Number of Monthly premiums missing]]*(Table35[[#This Row],[Lapsed API]]/12)</f>
        <v>0</v>
      </c>
      <c r="U24" s="204">
        <f>(Table35[[#This Row],[Lapsed API]]/12)*3</f>
        <v>0</v>
      </c>
      <c r="V24" s="15"/>
      <c r="W24" s="19"/>
      <c r="AC24" t="s">
        <v>236</v>
      </c>
    </row>
    <row r="25" spans="1:33" ht="20.100000000000001" customHeight="1" x14ac:dyDescent="0.3">
      <c r="A25" s="2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203" t="str">
        <f>IF(ISBLANK(Table35[[#This Row],[Paid to Date]]),"",DATE(YEAR(Table35[[#This Row],[Paid to Date]]),MONTH(Table35[[#This Row],[Paid to Date]]),DAY(Table35[[#This Row],[Paid to Date]])+90))</f>
        <v/>
      </c>
      <c r="M25" s="15"/>
      <c r="N25" s="15"/>
      <c r="O25" s="15"/>
      <c r="P25" s="203" t="str">
        <f>IFERROR(DATE(YEAR(Table35[[#This Row],[Lapsed Date]]),MONTH(Table35[[#This Row],[Lapsed Date]]),DAY(Table35[[#This Row],[Lapsed Date]])+20),"")</f>
        <v/>
      </c>
      <c r="Q25" s="203" t="str">
        <f>IFERROR(EDATE(Table35[[#This Row],[Lapsed Date]],12),"")</f>
        <v/>
      </c>
      <c r="R25" s="203" t="str">
        <f>IFERROR(EDATE(Table35[[#This Row],[Lapsed Date]],24),"")</f>
        <v/>
      </c>
      <c r="S25" s="205">
        <f ca="1">DATEDIF(Table35[[#This Row],[Paid to Date]],TODAY(), "M")</f>
        <v>1516</v>
      </c>
      <c r="T25" s="203">
        <f ca="1">Table35[[#This Row],[Number of Monthly premiums missing]]*(Table35[[#This Row],[Lapsed API]]/12)</f>
        <v>0</v>
      </c>
      <c r="U25" s="204">
        <f>(Table35[[#This Row],[Lapsed API]]/12)*3</f>
        <v>0</v>
      </c>
      <c r="V25" s="15"/>
      <c r="W25" s="19"/>
      <c r="AC25" t="s">
        <v>237</v>
      </c>
    </row>
    <row r="26" spans="1:33" ht="20.100000000000001" customHeight="1" x14ac:dyDescent="0.3">
      <c r="A26" s="2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203" t="str">
        <f>IF(ISBLANK(Table35[[#This Row],[Paid to Date]]),"",DATE(YEAR(Table35[[#This Row],[Paid to Date]]),MONTH(Table35[[#This Row],[Paid to Date]]),DAY(Table35[[#This Row],[Paid to Date]])+90))</f>
        <v/>
      </c>
      <c r="M26" s="15"/>
      <c r="N26" s="15"/>
      <c r="O26" s="15"/>
      <c r="P26" s="203" t="str">
        <f>IFERROR(DATE(YEAR(Table35[[#This Row],[Lapsed Date]]),MONTH(Table35[[#This Row],[Lapsed Date]]),DAY(Table35[[#This Row],[Lapsed Date]])+20),"")</f>
        <v/>
      </c>
      <c r="Q26" s="203" t="str">
        <f>IFERROR(EDATE(Table35[[#This Row],[Lapsed Date]],12),"")</f>
        <v/>
      </c>
      <c r="R26" s="203" t="str">
        <f>IFERROR(EDATE(Table35[[#This Row],[Lapsed Date]],24),"")</f>
        <v/>
      </c>
      <c r="S26" s="205">
        <f ca="1">DATEDIF(Table35[[#This Row],[Paid to Date]],TODAY(), "M")</f>
        <v>1516</v>
      </c>
      <c r="T26" s="203">
        <f ca="1">Table35[[#This Row],[Number of Monthly premiums missing]]*(Table35[[#This Row],[Lapsed API]]/12)</f>
        <v>0</v>
      </c>
      <c r="U26" s="204">
        <f>(Table35[[#This Row],[Lapsed API]]/12)*3</f>
        <v>0</v>
      </c>
      <c r="V26" s="15"/>
      <c r="W26" s="19"/>
    </row>
    <row r="27" spans="1:33" ht="20.100000000000001" customHeight="1" x14ac:dyDescent="0.3">
      <c r="A27" s="2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03" t="str">
        <f>IF(ISBLANK(Table35[[#This Row],[Paid to Date]]),"",DATE(YEAR(Table35[[#This Row],[Paid to Date]]),MONTH(Table35[[#This Row],[Paid to Date]]),DAY(Table35[[#This Row],[Paid to Date]])+90))</f>
        <v/>
      </c>
      <c r="M27" s="15"/>
      <c r="N27" s="15"/>
      <c r="O27" s="15"/>
      <c r="P27" s="203" t="str">
        <f>IFERROR(DATE(YEAR(Table35[[#This Row],[Lapsed Date]]),MONTH(Table35[[#This Row],[Lapsed Date]]),DAY(Table35[[#This Row],[Lapsed Date]])+20),"")</f>
        <v/>
      </c>
      <c r="Q27" s="203" t="str">
        <f>IFERROR(EDATE(Table35[[#This Row],[Lapsed Date]],12),"")</f>
        <v/>
      </c>
      <c r="R27" s="203" t="str">
        <f>IFERROR(EDATE(Table35[[#This Row],[Lapsed Date]],24),"")</f>
        <v/>
      </c>
      <c r="S27" s="205">
        <f ca="1">DATEDIF(Table35[[#This Row],[Paid to Date]],TODAY(), "M")</f>
        <v>1516</v>
      </c>
      <c r="T27" s="203">
        <f ca="1">Table35[[#This Row],[Number of Monthly premiums missing]]*(Table35[[#This Row],[Lapsed API]]/12)</f>
        <v>0</v>
      </c>
      <c r="U27" s="204">
        <f>(Table35[[#This Row],[Lapsed API]]/12)*3</f>
        <v>0</v>
      </c>
      <c r="V27" s="15"/>
      <c r="W27" s="19"/>
    </row>
    <row r="28" spans="1:33" ht="20.100000000000001" customHeight="1" x14ac:dyDescent="0.3">
      <c r="A28" s="2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03" t="str">
        <f>IF(ISBLANK(Table35[[#This Row],[Paid to Date]]),"",DATE(YEAR(Table35[[#This Row],[Paid to Date]]),MONTH(Table35[[#This Row],[Paid to Date]]),DAY(Table35[[#This Row],[Paid to Date]])+90))</f>
        <v/>
      </c>
      <c r="M28" s="15"/>
      <c r="N28" s="15"/>
      <c r="O28" s="15"/>
      <c r="P28" s="203" t="str">
        <f>IFERROR(DATE(YEAR(Table35[[#This Row],[Lapsed Date]]),MONTH(Table35[[#This Row],[Lapsed Date]]),DAY(Table35[[#This Row],[Lapsed Date]])+20),"")</f>
        <v/>
      </c>
      <c r="Q28" s="203" t="str">
        <f>IFERROR(EDATE(Table35[[#This Row],[Lapsed Date]],12),"")</f>
        <v/>
      </c>
      <c r="R28" s="203" t="str">
        <f>IFERROR(EDATE(Table35[[#This Row],[Lapsed Date]],24),"")</f>
        <v/>
      </c>
      <c r="S28" s="205">
        <f ca="1">DATEDIF(Table35[[#This Row],[Paid to Date]],TODAY(), "M")</f>
        <v>1516</v>
      </c>
      <c r="T28" s="203">
        <f ca="1">Table35[[#This Row],[Number of Monthly premiums missing]]*(Table35[[#This Row],[Lapsed API]]/12)</f>
        <v>0</v>
      </c>
      <c r="U28" s="204">
        <f>(Table35[[#This Row],[Lapsed API]]/12)*3</f>
        <v>0</v>
      </c>
      <c r="V28" s="15"/>
      <c r="W28" s="19"/>
    </row>
    <row r="29" spans="1:33" ht="20.100000000000001" customHeight="1" x14ac:dyDescent="0.3">
      <c r="A29" s="20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203" t="str">
        <f>IF(ISBLANK(Table35[[#This Row],[Paid to Date]]),"",DATE(YEAR(Table35[[#This Row],[Paid to Date]]),MONTH(Table35[[#This Row],[Paid to Date]]),DAY(Table35[[#This Row],[Paid to Date]])+90))</f>
        <v/>
      </c>
      <c r="M29" s="15"/>
      <c r="N29" s="15"/>
      <c r="O29" s="15"/>
      <c r="P29" s="203" t="str">
        <f>IFERROR(DATE(YEAR(Table35[[#This Row],[Lapsed Date]]),MONTH(Table35[[#This Row],[Lapsed Date]]),DAY(Table35[[#This Row],[Lapsed Date]])+20),"")</f>
        <v/>
      </c>
      <c r="Q29" s="203" t="str">
        <f>IFERROR(EDATE(Table35[[#This Row],[Lapsed Date]],12),"")</f>
        <v/>
      </c>
      <c r="R29" s="203" t="str">
        <f>IFERROR(EDATE(Table35[[#This Row],[Lapsed Date]],24),"")</f>
        <v/>
      </c>
      <c r="S29" s="205">
        <f ca="1">DATEDIF(Table35[[#This Row],[Paid to Date]],TODAY(), "M")</f>
        <v>1516</v>
      </c>
      <c r="T29" s="203">
        <f ca="1">Table35[[#This Row],[Number of Monthly premiums missing]]*(Table35[[#This Row],[Lapsed API]]/12)</f>
        <v>0</v>
      </c>
      <c r="U29" s="204">
        <f>(Table35[[#This Row],[Lapsed API]]/12)*3</f>
        <v>0</v>
      </c>
      <c r="V29" s="15"/>
      <c r="W29" s="19"/>
    </row>
    <row r="30" spans="1:33" ht="20.100000000000001" customHeight="1" x14ac:dyDescent="0.3">
      <c r="A30" s="2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203" t="str">
        <f>IF(ISBLANK(Table35[[#This Row],[Paid to Date]]),"",DATE(YEAR(Table35[[#This Row],[Paid to Date]]),MONTH(Table35[[#This Row],[Paid to Date]]),DAY(Table35[[#This Row],[Paid to Date]])+90))</f>
        <v/>
      </c>
      <c r="M30" s="15"/>
      <c r="N30" s="15"/>
      <c r="O30" s="15"/>
      <c r="P30" s="203" t="str">
        <f>IFERROR(DATE(YEAR(Table35[[#This Row],[Lapsed Date]]),MONTH(Table35[[#This Row],[Lapsed Date]]),DAY(Table35[[#This Row],[Lapsed Date]])+20),"")</f>
        <v/>
      </c>
      <c r="Q30" s="203" t="str">
        <f>IFERROR(EDATE(Table35[[#This Row],[Lapsed Date]],12),"")</f>
        <v/>
      </c>
      <c r="R30" s="203" t="str">
        <f>IFERROR(EDATE(Table35[[#This Row],[Lapsed Date]],24),"")</f>
        <v/>
      </c>
      <c r="S30" s="205">
        <f ca="1">DATEDIF(Table35[[#This Row],[Paid to Date]],TODAY(), "M")</f>
        <v>1516</v>
      </c>
      <c r="T30" s="203">
        <f ca="1">Table35[[#This Row],[Number of Monthly premiums missing]]*(Table35[[#This Row],[Lapsed API]]/12)</f>
        <v>0</v>
      </c>
      <c r="U30" s="204">
        <f>(Table35[[#This Row],[Lapsed API]]/12)*3</f>
        <v>0</v>
      </c>
      <c r="V30" s="15"/>
      <c r="W30" s="19"/>
    </row>
    <row r="31" spans="1:33" ht="20.100000000000001" customHeight="1" x14ac:dyDescent="0.3">
      <c r="A31" s="2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203" t="str">
        <f>IF(ISBLANK(Table35[[#This Row],[Paid to Date]]),"",DATE(YEAR(Table35[[#This Row],[Paid to Date]]),MONTH(Table35[[#This Row],[Paid to Date]]),DAY(Table35[[#This Row],[Paid to Date]])+90))</f>
        <v/>
      </c>
      <c r="M31" s="15"/>
      <c r="N31" s="15"/>
      <c r="O31" s="15"/>
      <c r="P31" s="203" t="str">
        <f>IFERROR(DATE(YEAR(Table35[[#This Row],[Lapsed Date]]),MONTH(Table35[[#This Row],[Lapsed Date]]),DAY(Table35[[#This Row],[Lapsed Date]])+20),"")</f>
        <v/>
      </c>
      <c r="Q31" s="203" t="str">
        <f>IFERROR(EDATE(Table35[[#This Row],[Lapsed Date]],12),"")</f>
        <v/>
      </c>
      <c r="R31" s="203" t="str">
        <f>IFERROR(EDATE(Table35[[#This Row],[Lapsed Date]],24),"")</f>
        <v/>
      </c>
      <c r="S31" s="205">
        <f ca="1">DATEDIF(Table35[[#This Row],[Paid to Date]],TODAY(), "M")</f>
        <v>1516</v>
      </c>
      <c r="T31" s="203">
        <f ca="1">Table35[[#This Row],[Number of Monthly premiums missing]]*(Table35[[#This Row],[Lapsed API]]/12)</f>
        <v>0</v>
      </c>
      <c r="U31" s="204">
        <f>(Table35[[#This Row],[Lapsed API]]/12)*3</f>
        <v>0</v>
      </c>
      <c r="V31" s="15"/>
      <c r="W31" s="19"/>
    </row>
    <row r="32" spans="1:33" ht="20.100000000000001" customHeight="1" x14ac:dyDescent="0.3">
      <c r="A32" s="2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03" t="str">
        <f>IF(ISBLANK(Table35[[#This Row],[Paid to Date]]),"",DATE(YEAR(Table35[[#This Row],[Paid to Date]]),MONTH(Table35[[#This Row],[Paid to Date]]),DAY(Table35[[#This Row],[Paid to Date]])+90))</f>
        <v/>
      </c>
      <c r="M32" s="15"/>
      <c r="N32" s="15"/>
      <c r="O32" s="15"/>
      <c r="P32" s="203" t="str">
        <f>IFERROR(DATE(YEAR(Table35[[#This Row],[Lapsed Date]]),MONTH(Table35[[#This Row],[Lapsed Date]]),DAY(Table35[[#This Row],[Lapsed Date]])+20),"")</f>
        <v/>
      </c>
      <c r="Q32" s="203" t="str">
        <f>IFERROR(EDATE(Table35[[#This Row],[Lapsed Date]],12),"")</f>
        <v/>
      </c>
      <c r="R32" s="203" t="str">
        <f>IFERROR(EDATE(Table35[[#This Row],[Lapsed Date]],24),"")</f>
        <v/>
      </c>
      <c r="S32" s="205">
        <f ca="1">DATEDIF(Table35[[#This Row],[Paid to Date]],TODAY(), "M")</f>
        <v>1516</v>
      </c>
      <c r="T32" s="203">
        <f ca="1">Table35[[#This Row],[Number of Monthly premiums missing]]*(Table35[[#This Row],[Lapsed API]]/12)</f>
        <v>0</v>
      </c>
      <c r="U32" s="204">
        <f>(Table35[[#This Row],[Lapsed API]]/12)*3</f>
        <v>0</v>
      </c>
      <c r="V32" s="15"/>
      <c r="W32" s="19"/>
    </row>
    <row r="33" spans="1:23" ht="20.100000000000001" customHeight="1" x14ac:dyDescent="0.3">
      <c r="A33" s="2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03" t="str">
        <f>IF(ISBLANK(Table35[[#This Row],[Paid to Date]]),"",DATE(YEAR(Table35[[#This Row],[Paid to Date]]),MONTH(Table35[[#This Row],[Paid to Date]]),DAY(Table35[[#This Row],[Paid to Date]])+90))</f>
        <v/>
      </c>
      <c r="M33" s="15"/>
      <c r="N33" s="15"/>
      <c r="O33" s="15"/>
      <c r="P33" s="203" t="str">
        <f>IFERROR(DATE(YEAR(Table35[[#This Row],[Lapsed Date]]),MONTH(Table35[[#This Row],[Lapsed Date]]),DAY(Table35[[#This Row],[Lapsed Date]])+20),"")</f>
        <v/>
      </c>
      <c r="Q33" s="203" t="str">
        <f>IFERROR(EDATE(Table35[[#This Row],[Lapsed Date]],12),"")</f>
        <v/>
      </c>
      <c r="R33" s="203" t="str">
        <f>IFERROR(EDATE(Table35[[#This Row],[Lapsed Date]],24),"")</f>
        <v/>
      </c>
      <c r="S33" s="205">
        <f ca="1">DATEDIF(Table35[[#This Row],[Paid to Date]],TODAY(), "M")</f>
        <v>1516</v>
      </c>
      <c r="T33" s="203">
        <f ca="1">Table35[[#This Row],[Number of Monthly premiums missing]]*(Table35[[#This Row],[Lapsed API]]/12)</f>
        <v>0</v>
      </c>
      <c r="U33" s="204">
        <f>(Table35[[#This Row],[Lapsed API]]/12)*3</f>
        <v>0</v>
      </c>
      <c r="V33" s="15"/>
      <c r="W33" s="19"/>
    </row>
    <row r="34" spans="1:23" ht="20.100000000000001" customHeight="1" x14ac:dyDescent="0.3">
      <c r="A34" s="20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03" t="str">
        <f>IF(ISBLANK(Table35[[#This Row],[Paid to Date]]),"",DATE(YEAR(Table35[[#This Row],[Paid to Date]]),MONTH(Table35[[#This Row],[Paid to Date]]),DAY(Table35[[#This Row],[Paid to Date]])+90))</f>
        <v/>
      </c>
      <c r="M34" s="15"/>
      <c r="N34" s="15"/>
      <c r="O34" s="15"/>
      <c r="P34" s="203" t="str">
        <f>IFERROR(DATE(YEAR(Table35[[#This Row],[Lapsed Date]]),MONTH(Table35[[#This Row],[Lapsed Date]]),DAY(Table35[[#This Row],[Lapsed Date]])+20),"")</f>
        <v/>
      </c>
      <c r="Q34" s="203" t="str">
        <f>IFERROR(EDATE(Table35[[#This Row],[Lapsed Date]],12),"")</f>
        <v/>
      </c>
      <c r="R34" s="203" t="str">
        <f>IFERROR(EDATE(Table35[[#This Row],[Lapsed Date]],24),"")</f>
        <v/>
      </c>
      <c r="S34" s="205">
        <f ca="1">DATEDIF(Table35[[#This Row],[Paid to Date]],TODAY(), "M")</f>
        <v>1516</v>
      </c>
      <c r="T34" s="203">
        <f ca="1">Table35[[#This Row],[Number of Monthly premiums missing]]*(Table35[[#This Row],[Lapsed API]]/12)</f>
        <v>0</v>
      </c>
      <c r="U34" s="204">
        <f>(Table35[[#This Row],[Lapsed API]]/12)*3</f>
        <v>0</v>
      </c>
      <c r="V34" s="15"/>
      <c r="W34" s="19"/>
    </row>
    <row r="35" spans="1:23" ht="20.100000000000001" customHeight="1" x14ac:dyDescent="0.3">
      <c r="A35" s="2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203" t="str">
        <f>IF(ISBLANK(Table35[[#This Row],[Paid to Date]]),"",DATE(YEAR(Table35[[#This Row],[Paid to Date]]),MONTH(Table35[[#This Row],[Paid to Date]]),DAY(Table35[[#This Row],[Paid to Date]])+90))</f>
        <v/>
      </c>
      <c r="M35" s="15"/>
      <c r="N35" s="15"/>
      <c r="O35" s="15"/>
      <c r="P35" s="203" t="str">
        <f>IFERROR(DATE(YEAR(Table35[[#This Row],[Lapsed Date]]),MONTH(Table35[[#This Row],[Lapsed Date]]),DAY(Table35[[#This Row],[Lapsed Date]])+20),"")</f>
        <v/>
      </c>
      <c r="Q35" s="203" t="str">
        <f>IFERROR(EDATE(Table35[[#This Row],[Lapsed Date]],12),"")</f>
        <v/>
      </c>
      <c r="R35" s="203" t="str">
        <f>IFERROR(EDATE(Table35[[#This Row],[Lapsed Date]],24),"")</f>
        <v/>
      </c>
      <c r="S35" s="205">
        <f ca="1">DATEDIF(Table35[[#This Row],[Paid to Date]],TODAY(), "M")</f>
        <v>1516</v>
      </c>
      <c r="T35" s="203">
        <f ca="1">Table35[[#This Row],[Number of Monthly premiums missing]]*(Table35[[#This Row],[Lapsed API]]/12)</f>
        <v>0</v>
      </c>
      <c r="U35" s="204">
        <f>(Table35[[#This Row],[Lapsed API]]/12)*3</f>
        <v>0</v>
      </c>
      <c r="V35" s="15"/>
      <c r="W35" s="19"/>
    </row>
    <row r="36" spans="1:23" ht="20.100000000000001" customHeight="1" x14ac:dyDescent="0.3">
      <c r="A36" s="2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03" t="str">
        <f>IF(ISBLANK(Table35[[#This Row],[Paid to Date]]),"",DATE(YEAR(Table35[[#This Row],[Paid to Date]]),MONTH(Table35[[#This Row],[Paid to Date]]),DAY(Table35[[#This Row],[Paid to Date]])+90))</f>
        <v/>
      </c>
      <c r="M36" s="15"/>
      <c r="N36" s="15"/>
      <c r="O36" s="15"/>
      <c r="P36" s="203" t="str">
        <f>IFERROR(DATE(YEAR(Table35[[#This Row],[Lapsed Date]]),MONTH(Table35[[#This Row],[Lapsed Date]]),DAY(Table35[[#This Row],[Lapsed Date]])+20),"")</f>
        <v/>
      </c>
      <c r="Q36" s="203" t="str">
        <f>IFERROR(EDATE(Table35[[#This Row],[Lapsed Date]],12),"")</f>
        <v/>
      </c>
      <c r="R36" s="203" t="str">
        <f>IFERROR(EDATE(Table35[[#This Row],[Lapsed Date]],24),"")</f>
        <v/>
      </c>
      <c r="S36" s="205">
        <f ca="1">DATEDIF(Table35[[#This Row],[Paid to Date]],TODAY(), "M")</f>
        <v>1516</v>
      </c>
      <c r="T36" s="203">
        <f ca="1">Table35[[#This Row],[Number of Monthly premiums missing]]*(Table35[[#This Row],[Lapsed API]]/12)</f>
        <v>0</v>
      </c>
      <c r="U36" s="204">
        <f>(Table35[[#This Row],[Lapsed API]]/12)*3</f>
        <v>0</v>
      </c>
      <c r="V36" s="15"/>
      <c r="W36" s="19"/>
    </row>
    <row r="37" spans="1:23" ht="20.100000000000001" customHeight="1" x14ac:dyDescent="0.3">
      <c r="A37" s="2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203" t="str">
        <f>IF(ISBLANK(Table35[[#This Row],[Paid to Date]]),"",DATE(YEAR(Table35[[#This Row],[Paid to Date]]),MONTH(Table35[[#This Row],[Paid to Date]]),DAY(Table35[[#This Row],[Paid to Date]])+90))</f>
        <v/>
      </c>
      <c r="M37" s="15"/>
      <c r="N37" s="15"/>
      <c r="O37" s="15"/>
      <c r="P37" s="203" t="str">
        <f>IFERROR(DATE(YEAR(Table35[[#This Row],[Lapsed Date]]),MONTH(Table35[[#This Row],[Lapsed Date]]),DAY(Table35[[#This Row],[Lapsed Date]])+20),"")</f>
        <v/>
      </c>
      <c r="Q37" s="203" t="str">
        <f>IFERROR(EDATE(Table35[[#This Row],[Lapsed Date]],12),"")</f>
        <v/>
      </c>
      <c r="R37" s="203" t="str">
        <f>IFERROR(EDATE(Table35[[#This Row],[Lapsed Date]],24),"")</f>
        <v/>
      </c>
      <c r="S37" s="205">
        <f ca="1">DATEDIF(Table35[[#This Row],[Paid to Date]],TODAY(), "M")</f>
        <v>1516</v>
      </c>
      <c r="T37" s="203">
        <f ca="1">Table35[[#This Row],[Number of Monthly premiums missing]]*(Table35[[#This Row],[Lapsed API]]/12)</f>
        <v>0</v>
      </c>
      <c r="U37" s="204">
        <f>(Table35[[#This Row],[Lapsed API]]/12)*3</f>
        <v>0</v>
      </c>
      <c r="V37" s="15"/>
      <c r="W37" s="19"/>
    </row>
    <row r="38" spans="1:23" ht="20.100000000000001" customHeight="1" x14ac:dyDescent="0.3">
      <c r="A38" s="20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03" t="str">
        <f>IF(ISBLANK(Table35[[#This Row],[Paid to Date]]),"",DATE(YEAR(Table35[[#This Row],[Paid to Date]]),MONTH(Table35[[#This Row],[Paid to Date]]),DAY(Table35[[#This Row],[Paid to Date]])+90))</f>
        <v/>
      </c>
      <c r="M38" s="15"/>
      <c r="N38" s="15"/>
      <c r="O38" s="15"/>
      <c r="P38" s="203" t="str">
        <f>IFERROR(DATE(YEAR(Table35[[#This Row],[Lapsed Date]]),MONTH(Table35[[#This Row],[Lapsed Date]]),DAY(Table35[[#This Row],[Lapsed Date]])+20),"")</f>
        <v/>
      </c>
      <c r="Q38" s="203" t="str">
        <f>IFERROR(EDATE(Table35[[#This Row],[Lapsed Date]],12),"")</f>
        <v/>
      </c>
      <c r="R38" s="203" t="str">
        <f>IFERROR(EDATE(Table35[[#This Row],[Lapsed Date]],24),"")</f>
        <v/>
      </c>
      <c r="S38" s="205">
        <f ca="1">DATEDIF(Table35[[#This Row],[Paid to Date]],TODAY(), "M")</f>
        <v>1516</v>
      </c>
      <c r="T38" s="203">
        <f ca="1">Table35[[#This Row],[Number of Monthly premiums missing]]*(Table35[[#This Row],[Lapsed API]]/12)</f>
        <v>0</v>
      </c>
      <c r="U38" s="204">
        <f>(Table35[[#This Row],[Lapsed API]]/12)*3</f>
        <v>0</v>
      </c>
      <c r="V38" s="15"/>
      <c r="W38" s="19"/>
    </row>
    <row r="39" spans="1:23" ht="20.100000000000001" customHeight="1" x14ac:dyDescent="0.3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03" t="str">
        <f>IF(ISBLANK(Table35[[#This Row],[Paid to Date]]),"",DATE(YEAR(Table35[[#This Row],[Paid to Date]]),MONTH(Table35[[#This Row],[Paid to Date]]),DAY(Table35[[#This Row],[Paid to Date]])+90))</f>
        <v/>
      </c>
      <c r="M39" s="15"/>
      <c r="N39" s="15"/>
      <c r="O39" s="15"/>
      <c r="P39" s="203" t="str">
        <f>IFERROR(DATE(YEAR(Table35[[#This Row],[Lapsed Date]]),MONTH(Table35[[#This Row],[Lapsed Date]]),DAY(Table35[[#This Row],[Lapsed Date]])+20),"")</f>
        <v/>
      </c>
      <c r="Q39" s="203" t="str">
        <f>IFERROR(EDATE(Table35[[#This Row],[Lapsed Date]],12),"")</f>
        <v/>
      </c>
      <c r="R39" s="203" t="str">
        <f>IFERROR(EDATE(Table35[[#This Row],[Lapsed Date]],24),"")</f>
        <v/>
      </c>
      <c r="S39" s="205">
        <f ca="1">DATEDIF(Table35[[#This Row],[Paid to Date]],TODAY(), "M")</f>
        <v>1516</v>
      </c>
      <c r="T39" s="203">
        <f ca="1">Table35[[#This Row],[Number of Monthly premiums missing]]*(Table35[[#This Row],[Lapsed API]]/12)</f>
        <v>0</v>
      </c>
      <c r="U39" s="204">
        <f>(Table35[[#This Row],[Lapsed API]]/12)*3</f>
        <v>0</v>
      </c>
      <c r="V39" s="15"/>
      <c r="W39" s="19"/>
    </row>
    <row r="40" spans="1:23" ht="20.100000000000001" customHeight="1" x14ac:dyDescent="0.3">
      <c r="A40" s="20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203" t="str">
        <f>IF(ISBLANK(Table35[[#This Row],[Paid to Date]]),"",DATE(YEAR(Table35[[#This Row],[Paid to Date]]),MONTH(Table35[[#This Row],[Paid to Date]]),DAY(Table35[[#This Row],[Paid to Date]])+90))</f>
        <v/>
      </c>
      <c r="M40" s="15"/>
      <c r="N40" s="15"/>
      <c r="O40" s="15"/>
      <c r="P40" s="203" t="str">
        <f>IFERROR(DATE(YEAR(Table35[[#This Row],[Lapsed Date]]),MONTH(Table35[[#This Row],[Lapsed Date]]),DAY(Table35[[#This Row],[Lapsed Date]])+20),"")</f>
        <v/>
      </c>
      <c r="Q40" s="203" t="str">
        <f>IFERROR(EDATE(Table35[[#This Row],[Lapsed Date]],12),"")</f>
        <v/>
      </c>
      <c r="R40" s="203" t="str">
        <f>IFERROR(EDATE(Table35[[#This Row],[Lapsed Date]],24),"")</f>
        <v/>
      </c>
      <c r="S40" s="205">
        <f ca="1">DATEDIF(Table35[[#This Row],[Paid to Date]],TODAY(), "M")</f>
        <v>1516</v>
      </c>
      <c r="T40" s="203">
        <f ca="1">Table35[[#This Row],[Number of Monthly premiums missing]]*(Table35[[#This Row],[Lapsed API]]/12)</f>
        <v>0</v>
      </c>
      <c r="U40" s="204">
        <f>(Table35[[#This Row],[Lapsed API]]/12)*3</f>
        <v>0</v>
      </c>
      <c r="V40" s="15"/>
      <c r="W40" s="19"/>
    </row>
    <row r="41" spans="1:23" ht="20.100000000000001" customHeight="1" x14ac:dyDescent="0.3">
      <c r="A41" s="2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203" t="str">
        <f>IF(ISBLANK(Table35[[#This Row],[Paid to Date]]),"",DATE(YEAR(Table35[[#This Row],[Paid to Date]]),MONTH(Table35[[#This Row],[Paid to Date]]),DAY(Table35[[#This Row],[Paid to Date]])+90))</f>
        <v/>
      </c>
      <c r="M41" s="15"/>
      <c r="N41" s="15"/>
      <c r="O41" s="15"/>
      <c r="P41" s="203" t="str">
        <f>IFERROR(DATE(YEAR(Table35[[#This Row],[Lapsed Date]]),MONTH(Table35[[#This Row],[Lapsed Date]]),DAY(Table35[[#This Row],[Lapsed Date]])+20),"")</f>
        <v/>
      </c>
      <c r="Q41" s="203" t="str">
        <f>IFERROR(EDATE(Table35[[#This Row],[Lapsed Date]],12),"")</f>
        <v/>
      </c>
      <c r="R41" s="203" t="str">
        <f>IFERROR(EDATE(Table35[[#This Row],[Lapsed Date]],24),"")</f>
        <v/>
      </c>
      <c r="S41" s="205">
        <f ca="1">DATEDIF(Table35[[#This Row],[Paid to Date]],TODAY(), "M")</f>
        <v>1516</v>
      </c>
      <c r="T41" s="203">
        <f ca="1">Table35[[#This Row],[Number of Monthly premiums missing]]*(Table35[[#This Row],[Lapsed API]]/12)</f>
        <v>0</v>
      </c>
      <c r="U41" s="204">
        <f>(Table35[[#This Row],[Lapsed API]]/12)*3</f>
        <v>0</v>
      </c>
      <c r="V41" s="15"/>
      <c r="W41" s="19"/>
    </row>
    <row r="42" spans="1:23" ht="20.100000000000001" customHeight="1" x14ac:dyDescent="0.3">
      <c r="A42" s="20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203" t="str">
        <f>IF(ISBLANK(Table35[[#This Row],[Paid to Date]]),"",DATE(YEAR(Table35[[#This Row],[Paid to Date]]),MONTH(Table35[[#This Row],[Paid to Date]]),DAY(Table35[[#This Row],[Paid to Date]])+90))</f>
        <v/>
      </c>
      <c r="M42" s="15"/>
      <c r="N42" s="15"/>
      <c r="O42" s="15"/>
      <c r="P42" s="203" t="str">
        <f>IFERROR(DATE(YEAR(Table35[[#This Row],[Lapsed Date]]),MONTH(Table35[[#This Row],[Lapsed Date]]),DAY(Table35[[#This Row],[Lapsed Date]])+20),"")</f>
        <v/>
      </c>
      <c r="Q42" s="203" t="str">
        <f>IFERROR(EDATE(Table35[[#This Row],[Lapsed Date]],12),"")</f>
        <v/>
      </c>
      <c r="R42" s="203" t="str">
        <f>IFERROR(EDATE(Table35[[#This Row],[Lapsed Date]],24),"")</f>
        <v/>
      </c>
      <c r="S42" s="205">
        <f ca="1">DATEDIF(Table35[[#This Row],[Paid to Date]],TODAY(), "M")</f>
        <v>1516</v>
      </c>
      <c r="T42" s="203">
        <f ca="1">Table35[[#This Row],[Number of Monthly premiums missing]]*(Table35[[#This Row],[Lapsed API]]/12)</f>
        <v>0</v>
      </c>
      <c r="U42" s="204">
        <f>(Table35[[#This Row],[Lapsed API]]/12)*3</f>
        <v>0</v>
      </c>
      <c r="V42" s="15"/>
      <c r="W42" s="19"/>
    </row>
    <row r="43" spans="1:23" ht="20.100000000000001" customHeight="1" x14ac:dyDescent="0.3">
      <c r="A43" s="20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03" t="str">
        <f>IF(ISBLANK(Table35[[#This Row],[Paid to Date]]),"",DATE(YEAR(Table35[[#This Row],[Paid to Date]]),MONTH(Table35[[#This Row],[Paid to Date]]),DAY(Table35[[#This Row],[Paid to Date]])+90))</f>
        <v/>
      </c>
      <c r="M43" s="15"/>
      <c r="N43" s="15"/>
      <c r="O43" s="15"/>
      <c r="P43" s="203" t="str">
        <f>IFERROR(DATE(YEAR(Table35[[#This Row],[Lapsed Date]]),MONTH(Table35[[#This Row],[Lapsed Date]]),DAY(Table35[[#This Row],[Lapsed Date]])+20),"")</f>
        <v/>
      </c>
      <c r="Q43" s="203" t="str">
        <f>IFERROR(EDATE(Table35[[#This Row],[Lapsed Date]],12),"")</f>
        <v/>
      </c>
      <c r="R43" s="203" t="str">
        <f>IFERROR(EDATE(Table35[[#This Row],[Lapsed Date]],24),"")</f>
        <v/>
      </c>
      <c r="S43" s="205">
        <f ca="1">DATEDIF(Table35[[#This Row],[Paid to Date]],TODAY(), "M")</f>
        <v>1516</v>
      </c>
      <c r="T43" s="203">
        <f ca="1">Table35[[#This Row],[Number of Monthly premiums missing]]*(Table35[[#This Row],[Lapsed API]]/12)</f>
        <v>0</v>
      </c>
      <c r="U43" s="204">
        <f>(Table35[[#This Row],[Lapsed API]]/12)*3</f>
        <v>0</v>
      </c>
      <c r="V43" s="15"/>
      <c r="W43" s="19"/>
    </row>
    <row r="44" spans="1:23" ht="20.100000000000001" customHeight="1" x14ac:dyDescent="0.3">
      <c r="A44" s="2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03" t="str">
        <f>IF(ISBLANK(Table35[[#This Row],[Paid to Date]]),"",DATE(YEAR(Table35[[#This Row],[Paid to Date]]),MONTH(Table35[[#This Row],[Paid to Date]]),DAY(Table35[[#This Row],[Paid to Date]])+90))</f>
        <v/>
      </c>
      <c r="M44" s="15"/>
      <c r="N44" s="15"/>
      <c r="O44" s="15"/>
      <c r="P44" s="203" t="str">
        <f>IFERROR(DATE(YEAR(Table35[[#This Row],[Lapsed Date]]),MONTH(Table35[[#This Row],[Lapsed Date]]),DAY(Table35[[#This Row],[Lapsed Date]])+20),"")</f>
        <v/>
      </c>
      <c r="Q44" s="203" t="str">
        <f>IFERROR(EDATE(Table35[[#This Row],[Lapsed Date]],12),"")</f>
        <v/>
      </c>
      <c r="R44" s="203" t="str">
        <f>IFERROR(EDATE(Table35[[#This Row],[Lapsed Date]],24),"")</f>
        <v/>
      </c>
      <c r="S44" s="205">
        <f ca="1">DATEDIF(Table35[[#This Row],[Paid to Date]],TODAY(), "M")</f>
        <v>1516</v>
      </c>
      <c r="T44" s="203">
        <f ca="1">Table35[[#This Row],[Number of Monthly premiums missing]]*(Table35[[#This Row],[Lapsed API]]/12)</f>
        <v>0</v>
      </c>
      <c r="U44" s="204">
        <f>(Table35[[#This Row],[Lapsed API]]/12)*3</f>
        <v>0</v>
      </c>
      <c r="V44" s="15"/>
      <c r="W44" s="19"/>
    </row>
    <row r="45" spans="1:23" ht="20.100000000000001" customHeight="1" x14ac:dyDescent="0.3">
      <c r="A45" s="20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03" t="str">
        <f>IF(ISBLANK(Table35[[#This Row],[Paid to Date]]),"",DATE(YEAR(Table35[[#This Row],[Paid to Date]]),MONTH(Table35[[#This Row],[Paid to Date]]),DAY(Table35[[#This Row],[Paid to Date]])+90))</f>
        <v/>
      </c>
      <c r="M45" s="15"/>
      <c r="N45" s="15"/>
      <c r="O45" s="15"/>
      <c r="P45" s="203" t="str">
        <f>IFERROR(DATE(YEAR(Table35[[#This Row],[Lapsed Date]]),MONTH(Table35[[#This Row],[Lapsed Date]]),DAY(Table35[[#This Row],[Lapsed Date]])+20),"")</f>
        <v/>
      </c>
      <c r="Q45" s="203" t="str">
        <f>IFERROR(EDATE(Table35[[#This Row],[Lapsed Date]],12),"")</f>
        <v/>
      </c>
      <c r="R45" s="203" t="str">
        <f>IFERROR(EDATE(Table35[[#This Row],[Lapsed Date]],24),"")</f>
        <v/>
      </c>
      <c r="S45" s="205">
        <f ca="1">DATEDIF(Table35[[#This Row],[Paid to Date]],TODAY(), "M")</f>
        <v>1516</v>
      </c>
      <c r="T45" s="203">
        <f ca="1">Table35[[#This Row],[Number of Monthly premiums missing]]*(Table35[[#This Row],[Lapsed API]]/12)</f>
        <v>0</v>
      </c>
      <c r="U45" s="204">
        <f>(Table35[[#This Row],[Lapsed API]]/12)*3</f>
        <v>0</v>
      </c>
      <c r="V45" s="15"/>
      <c r="W45" s="19"/>
    </row>
    <row r="46" spans="1:23" ht="20.100000000000001" customHeight="1" x14ac:dyDescent="0.3">
      <c r="A46" s="20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03" t="str">
        <f>IF(ISBLANK(Table35[[#This Row],[Paid to Date]]),"",DATE(YEAR(Table35[[#This Row],[Paid to Date]]),MONTH(Table35[[#This Row],[Paid to Date]]),DAY(Table35[[#This Row],[Paid to Date]])+90))</f>
        <v/>
      </c>
      <c r="M46" s="15"/>
      <c r="N46" s="15"/>
      <c r="O46" s="15"/>
      <c r="P46" s="203" t="str">
        <f>IFERROR(DATE(YEAR(Table35[[#This Row],[Lapsed Date]]),MONTH(Table35[[#This Row],[Lapsed Date]]),DAY(Table35[[#This Row],[Lapsed Date]])+20),"")</f>
        <v/>
      </c>
      <c r="Q46" s="203" t="str">
        <f>IFERROR(EDATE(Table35[[#This Row],[Lapsed Date]],12),"")</f>
        <v/>
      </c>
      <c r="R46" s="203" t="str">
        <f>IFERROR(EDATE(Table35[[#This Row],[Lapsed Date]],24),"")</f>
        <v/>
      </c>
      <c r="S46" s="205">
        <f ca="1">DATEDIF(Table35[[#This Row],[Paid to Date]],TODAY(), "M")</f>
        <v>1516</v>
      </c>
      <c r="T46" s="203">
        <f ca="1">Table35[[#This Row],[Number of Monthly premiums missing]]*(Table35[[#This Row],[Lapsed API]]/12)</f>
        <v>0</v>
      </c>
      <c r="U46" s="204">
        <f>(Table35[[#This Row],[Lapsed API]]/12)*3</f>
        <v>0</v>
      </c>
      <c r="V46" s="15"/>
      <c r="W46" s="19"/>
    </row>
    <row r="47" spans="1:23" ht="20.100000000000001" customHeight="1" x14ac:dyDescent="0.3">
      <c r="A47" s="20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03" t="str">
        <f>IF(ISBLANK(Table35[[#This Row],[Paid to Date]]),"",DATE(YEAR(Table35[[#This Row],[Paid to Date]]),MONTH(Table35[[#This Row],[Paid to Date]]),DAY(Table35[[#This Row],[Paid to Date]])+90))</f>
        <v/>
      </c>
      <c r="M47" s="15"/>
      <c r="N47" s="15"/>
      <c r="O47" s="15"/>
      <c r="P47" s="203" t="str">
        <f>IFERROR(DATE(YEAR(Table35[[#This Row],[Lapsed Date]]),MONTH(Table35[[#This Row],[Lapsed Date]]),DAY(Table35[[#This Row],[Lapsed Date]])+20),"")</f>
        <v/>
      </c>
      <c r="Q47" s="203" t="str">
        <f>IFERROR(EDATE(Table35[[#This Row],[Lapsed Date]],12),"")</f>
        <v/>
      </c>
      <c r="R47" s="203" t="str">
        <f>IFERROR(EDATE(Table35[[#This Row],[Lapsed Date]],24),"")</f>
        <v/>
      </c>
      <c r="S47" s="205">
        <f ca="1">DATEDIF(Table35[[#This Row],[Paid to Date]],TODAY(), "M")</f>
        <v>1516</v>
      </c>
      <c r="T47" s="203">
        <f ca="1">Table35[[#This Row],[Number of Monthly premiums missing]]*(Table35[[#This Row],[Lapsed API]]/12)</f>
        <v>0</v>
      </c>
      <c r="U47" s="204">
        <f>(Table35[[#This Row],[Lapsed API]]/12)*3</f>
        <v>0</v>
      </c>
      <c r="V47" s="15"/>
      <c r="W47" s="19"/>
    </row>
    <row r="48" spans="1:23" ht="20.100000000000001" customHeight="1" x14ac:dyDescent="0.3">
      <c r="A48" s="20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03" t="str">
        <f>IF(ISBLANK(Table35[[#This Row],[Paid to Date]]),"",DATE(YEAR(Table35[[#This Row],[Paid to Date]]),MONTH(Table35[[#This Row],[Paid to Date]]),DAY(Table35[[#This Row],[Paid to Date]])+90))</f>
        <v/>
      </c>
      <c r="M48" s="15"/>
      <c r="N48" s="15"/>
      <c r="O48" s="15"/>
      <c r="P48" s="203" t="str">
        <f>IFERROR(DATE(YEAR(Table35[[#This Row],[Lapsed Date]]),MONTH(Table35[[#This Row],[Lapsed Date]]),DAY(Table35[[#This Row],[Lapsed Date]])+20),"")</f>
        <v/>
      </c>
      <c r="Q48" s="203" t="str">
        <f>IFERROR(EDATE(Table35[[#This Row],[Lapsed Date]],12),"")</f>
        <v/>
      </c>
      <c r="R48" s="203" t="str">
        <f>IFERROR(EDATE(Table35[[#This Row],[Lapsed Date]],24),"")</f>
        <v/>
      </c>
      <c r="S48" s="205">
        <f ca="1">DATEDIF(Table35[[#This Row],[Paid to Date]],TODAY(), "M")</f>
        <v>1516</v>
      </c>
      <c r="T48" s="203">
        <f ca="1">Table35[[#This Row],[Number of Monthly premiums missing]]*(Table35[[#This Row],[Lapsed API]]/12)</f>
        <v>0</v>
      </c>
      <c r="U48" s="204">
        <f>(Table35[[#This Row],[Lapsed API]]/12)*3</f>
        <v>0</v>
      </c>
      <c r="V48" s="15"/>
      <c r="W48" s="19"/>
    </row>
    <row r="49" spans="1:23" ht="20.100000000000001" customHeight="1" x14ac:dyDescent="0.3">
      <c r="A49" s="2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203" t="str">
        <f>IF(ISBLANK(Table35[[#This Row],[Paid to Date]]),"",DATE(YEAR(Table35[[#This Row],[Paid to Date]]),MONTH(Table35[[#This Row],[Paid to Date]]),DAY(Table35[[#This Row],[Paid to Date]])+90))</f>
        <v/>
      </c>
      <c r="M49" s="15"/>
      <c r="N49" s="15"/>
      <c r="O49" s="15"/>
      <c r="P49" s="203" t="str">
        <f>IFERROR(DATE(YEAR(Table35[[#This Row],[Lapsed Date]]),MONTH(Table35[[#This Row],[Lapsed Date]]),DAY(Table35[[#This Row],[Lapsed Date]])+20),"")</f>
        <v/>
      </c>
      <c r="Q49" s="203" t="str">
        <f>IFERROR(EDATE(Table35[[#This Row],[Lapsed Date]],12),"")</f>
        <v/>
      </c>
      <c r="R49" s="203" t="str">
        <f>IFERROR(EDATE(Table35[[#This Row],[Lapsed Date]],24),"")</f>
        <v/>
      </c>
      <c r="S49" s="205">
        <f ca="1">DATEDIF(Table35[[#This Row],[Paid to Date]],TODAY(), "M")</f>
        <v>1516</v>
      </c>
      <c r="T49" s="203">
        <f ca="1">Table35[[#This Row],[Number of Monthly premiums missing]]*(Table35[[#This Row],[Lapsed API]]/12)</f>
        <v>0</v>
      </c>
      <c r="U49" s="204">
        <f>(Table35[[#This Row],[Lapsed API]]/12)*3</f>
        <v>0</v>
      </c>
      <c r="V49" s="15"/>
      <c r="W49" s="19"/>
    </row>
    <row r="50" spans="1:23" ht="20.100000000000001" customHeight="1" x14ac:dyDescent="0.3">
      <c r="A50" s="20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203" t="str">
        <f>IF(ISBLANK(Table35[[#This Row],[Paid to Date]]),"",DATE(YEAR(Table35[[#This Row],[Paid to Date]]),MONTH(Table35[[#This Row],[Paid to Date]]),DAY(Table35[[#This Row],[Paid to Date]])+90))</f>
        <v/>
      </c>
      <c r="M50" s="15"/>
      <c r="N50" s="15"/>
      <c r="O50" s="15"/>
      <c r="P50" s="203" t="str">
        <f>IFERROR(DATE(YEAR(Table35[[#This Row],[Lapsed Date]]),MONTH(Table35[[#This Row],[Lapsed Date]]),DAY(Table35[[#This Row],[Lapsed Date]])+20),"")</f>
        <v/>
      </c>
      <c r="Q50" s="203" t="str">
        <f>IFERROR(EDATE(Table35[[#This Row],[Lapsed Date]],12),"")</f>
        <v/>
      </c>
      <c r="R50" s="203" t="str">
        <f>IFERROR(EDATE(Table35[[#This Row],[Lapsed Date]],24),"")</f>
        <v/>
      </c>
      <c r="S50" s="205">
        <f ca="1">DATEDIF(Table35[[#This Row],[Paid to Date]],TODAY(), "M")</f>
        <v>1516</v>
      </c>
      <c r="T50" s="203">
        <f ca="1">Table35[[#This Row],[Number of Monthly premiums missing]]*(Table35[[#This Row],[Lapsed API]]/12)</f>
        <v>0</v>
      </c>
      <c r="U50" s="204">
        <f>(Table35[[#This Row],[Lapsed API]]/12)*3</f>
        <v>0</v>
      </c>
      <c r="V50" s="15"/>
      <c r="W50" s="19"/>
    </row>
    <row r="51" spans="1:23" ht="20.100000000000001" customHeight="1" x14ac:dyDescent="0.3">
      <c r="A51" s="2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03" t="str">
        <f>IF(ISBLANK(Table35[[#This Row],[Paid to Date]]),"",DATE(YEAR(Table35[[#This Row],[Paid to Date]]),MONTH(Table35[[#This Row],[Paid to Date]]),DAY(Table35[[#This Row],[Paid to Date]])+90))</f>
        <v/>
      </c>
      <c r="M51" s="15"/>
      <c r="N51" s="15"/>
      <c r="O51" s="15"/>
      <c r="P51" s="203" t="str">
        <f>IFERROR(DATE(YEAR(Table35[[#This Row],[Lapsed Date]]),MONTH(Table35[[#This Row],[Lapsed Date]]),DAY(Table35[[#This Row],[Lapsed Date]])+20),"")</f>
        <v/>
      </c>
      <c r="Q51" s="203" t="str">
        <f>IFERROR(EDATE(Table35[[#This Row],[Lapsed Date]],12),"")</f>
        <v/>
      </c>
      <c r="R51" s="203" t="str">
        <f>IFERROR(EDATE(Table35[[#This Row],[Lapsed Date]],24),"")</f>
        <v/>
      </c>
      <c r="S51" s="205">
        <f ca="1">DATEDIF(Table35[[#This Row],[Paid to Date]],TODAY(), "M")</f>
        <v>1516</v>
      </c>
      <c r="T51" s="203">
        <f ca="1">Table35[[#This Row],[Number of Monthly premiums missing]]*(Table35[[#This Row],[Lapsed API]]/12)</f>
        <v>0</v>
      </c>
      <c r="U51" s="204">
        <f>(Table35[[#This Row],[Lapsed API]]/12)*3</f>
        <v>0</v>
      </c>
      <c r="V51" s="15"/>
      <c r="W51" s="19"/>
    </row>
    <row r="52" spans="1:23" ht="20.100000000000001" customHeight="1" x14ac:dyDescent="0.3">
      <c r="A52" s="20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03" t="str">
        <f>IF(ISBLANK(Table35[[#This Row],[Paid to Date]]),"",DATE(YEAR(Table35[[#This Row],[Paid to Date]]),MONTH(Table35[[#This Row],[Paid to Date]]),DAY(Table35[[#This Row],[Paid to Date]])+90))</f>
        <v/>
      </c>
      <c r="M52" s="15"/>
      <c r="N52" s="15"/>
      <c r="O52" s="15"/>
      <c r="P52" s="203" t="str">
        <f>IFERROR(DATE(YEAR(Table35[[#This Row],[Lapsed Date]]),MONTH(Table35[[#This Row],[Lapsed Date]]),DAY(Table35[[#This Row],[Lapsed Date]])+20),"")</f>
        <v/>
      </c>
      <c r="Q52" s="203" t="str">
        <f>IFERROR(EDATE(Table35[[#This Row],[Lapsed Date]],12),"")</f>
        <v/>
      </c>
      <c r="R52" s="203" t="str">
        <f>IFERROR(EDATE(Table35[[#This Row],[Lapsed Date]],24),"")</f>
        <v/>
      </c>
      <c r="S52" s="205">
        <f ca="1">DATEDIF(Table35[[#This Row],[Paid to Date]],TODAY(), "M")</f>
        <v>1516</v>
      </c>
      <c r="T52" s="203">
        <f ca="1">Table35[[#This Row],[Number of Monthly premiums missing]]*(Table35[[#This Row],[Lapsed API]]/12)</f>
        <v>0</v>
      </c>
      <c r="U52" s="204">
        <f>(Table35[[#This Row],[Lapsed API]]/12)*3</f>
        <v>0</v>
      </c>
      <c r="V52" s="15"/>
      <c r="W52" s="19"/>
    </row>
    <row r="53" spans="1:23" ht="20.100000000000001" customHeight="1" x14ac:dyDescent="0.3">
      <c r="A53" s="20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203" t="str">
        <f>IF(ISBLANK(Table35[[#This Row],[Paid to Date]]),"",DATE(YEAR(Table35[[#This Row],[Paid to Date]]),MONTH(Table35[[#This Row],[Paid to Date]]),DAY(Table35[[#This Row],[Paid to Date]])+90))</f>
        <v/>
      </c>
      <c r="M53" s="15"/>
      <c r="N53" s="15"/>
      <c r="O53" s="15"/>
      <c r="P53" s="203" t="str">
        <f>IFERROR(DATE(YEAR(Table35[[#This Row],[Lapsed Date]]),MONTH(Table35[[#This Row],[Lapsed Date]]),DAY(Table35[[#This Row],[Lapsed Date]])+20),"")</f>
        <v/>
      </c>
      <c r="Q53" s="203" t="str">
        <f>IFERROR(EDATE(Table35[[#This Row],[Lapsed Date]],12),"")</f>
        <v/>
      </c>
      <c r="R53" s="203" t="str">
        <f>IFERROR(EDATE(Table35[[#This Row],[Lapsed Date]],24),"")</f>
        <v/>
      </c>
      <c r="S53" s="205">
        <f ca="1">DATEDIF(Table35[[#This Row],[Paid to Date]],TODAY(), "M")</f>
        <v>1516</v>
      </c>
      <c r="T53" s="203">
        <f ca="1">Table35[[#This Row],[Number of Monthly premiums missing]]*(Table35[[#This Row],[Lapsed API]]/12)</f>
        <v>0</v>
      </c>
      <c r="U53" s="204">
        <f>(Table35[[#This Row],[Lapsed API]]/12)*3</f>
        <v>0</v>
      </c>
      <c r="V53" s="15"/>
      <c r="W53" s="19"/>
    </row>
    <row r="54" spans="1:23" ht="20.100000000000001" customHeight="1" x14ac:dyDescent="0.3">
      <c r="A54" s="20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03" t="str">
        <f>IF(ISBLANK(Table35[[#This Row],[Paid to Date]]),"",DATE(YEAR(Table35[[#This Row],[Paid to Date]]),MONTH(Table35[[#This Row],[Paid to Date]]),DAY(Table35[[#This Row],[Paid to Date]])+90))</f>
        <v/>
      </c>
      <c r="M54" s="15"/>
      <c r="N54" s="15"/>
      <c r="O54" s="15"/>
      <c r="P54" s="203" t="str">
        <f>IFERROR(DATE(YEAR(Table35[[#This Row],[Lapsed Date]]),MONTH(Table35[[#This Row],[Lapsed Date]]),DAY(Table35[[#This Row],[Lapsed Date]])+20),"")</f>
        <v/>
      </c>
      <c r="Q54" s="203" t="str">
        <f>IFERROR(EDATE(Table35[[#This Row],[Lapsed Date]],12),"")</f>
        <v/>
      </c>
      <c r="R54" s="203" t="str">
        <f>IFERROR(EDATE(Table35[[#This Row],[Lapsed Date]],24),"")</f>
        <v/>
      </c>
      <c r="S54" s="205">
        <f ca="1">DATEDIF(Table35[[#This Row],[Paid to Date]],TODAY(), "M")</f>
        <v>1516</v>
      </c>
      <c r="T54" s="203">
        <f ca="1">Table35[[#This Row],[Number of Monthly premiums missing]]*(Table35[[#This Row],[Lapsed API]]/12)</f>
        <v>0</v>
      </c>
      <c r="U54" s="204">
        <f>(Table35[[#This Row],[Lapsed API]]/12)*3</f>
        <v>0</v>
      </c>
      <c r="V54" s="15"/>
      <c r="W54" s="19"/>
    </row>
    <row r="55" spans="1:23" ht="20.100000000000001" customHeight="1" x14ac:dyDescent="0.3">
      <c r="A55" s="20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03" t="str">
        <f>IF(ISBLANK(Table35[[#This Row],[Paid to Date]]),"",DATE(YEAR(Table35[[#This Row],[Paid to Date]]),MONTH(Table35[[#This Row],[Paid to Date]]),DAY(Table35[[#This Row],[Paid to Date]])+90))</f>
        <v/>
      </c>
      <c r="M55" s="15"/>
      <c r="N55" s="15"/>
      <c r="O55" s="15"/>
      <c r="P55" s="203" t="str">
        <f>IFERROR(DATE(YEAR(Table35[[#This Row],[Lapsed Date]]),MONTH(Table35[[#This Row],[Lapsed Date]]),DAY(Table35[[#This Row],[Lapsed Date]])+20),"")</f>
        <v/>
      </c>
      <c r="Q55" s="203" t="str">
        <f>IFERROR(EDATE(Table35[[#This Row],[Lapsed Date]],12),"")</f>
        <v/>
      </c>
      <c r="R55" s="203" t="str">
        <f>IFERROR(EDATE(Table35[[#This Row],[Lapsed Date]],24),"")</f>
        <v/>
      </c>
      <c r="S55" s="205">
        <f ca="1">DATEDIF(Table35[[#This Row],[Paid to Date]],TODAY(), "M")</f>
        <v>1516</v>
      </c>
      <c r="T55" s="203">
        <f ca="1">Table35[[#This Row],[Number of Monthly premiums missing]]*(Table35[[#This Row],[Lapsed API]]/12)</f>
        <v>0</v>
      </c>
      <c r="U55" s="204">
        <f>(Table35[[#This Row],[Lapsed API]]/12)*3</f>
        <v>0</v>
      </c>
      <c r="V55" s="15"/>
      <c r="W55" s="19"/>
    </row>
    <row r="56" spans="1:23" ht="20.100000000000001" customHeight="1" x14ac:dyDescent="0.3">
      <c r="A56" s="20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03" t="str">
        <f>IF(ISBLANK(Table35[[#This Row],[Paid to Date]]),"",DATE(YEAR(Table35[[#This Row],[Paid to Date]]),MONTH(Table35[[#This Row],[Paid to Date]]),DAY(Table35[[#This Row],[Paid to Date]])+90))</f>
        <v/>
      </c>
      <c r="M56" s="15"/>
      <c r="N56" s="15"/>
      <c r="O56" s="15"/>
      <c r="P56" s="203" t="str">
        <f>IFERROR(DATE(YEAR(Table35[[#This Row],[Lapsed Date]]),MONTH(Table35[[#This Row],[Lapsed Date]]),DAY(Table35[[#This Row],[Lapsed Date]])+20),"")</f>
        <v/>
      </c>
      <c r="Q56" s="203" t="str">
        <f>IFERROR(EDATE(Table35[[#This Row],[Lapsed Date]],12),"")</f>
        <v/>
      </c>
      <c r="R56" s="203" t="str">
        <f>IFERROR(EDATE(Table35[[#This Row],[Lapsed Date]],24),"")</f>
        <v/>
      </c>
      <c r="S56" s="205">
        <f ca="1">DATEDIF(Table35[[#This Row],[Paid to Date]],TODAY(), "M")</f>
        <v>1516</v>
      </c>
      <c r="T56" s="203">
        <f ca="1">Table35[[#This Row],[Number of Monthly premiums missing]]*(Table35[[#This Row],[Lapsed API]]/12)</f>
        <v>0</v>
      </c>
      <c r="U56" s="204">
        <f>(Table35[[#This Row],[Lapsed API]]/12)*3</f>
        <v>0</v>
      </c>
      <c r="V56" s="15"/>
      <c r="W56" s="19"/>
    </row>
    <row r="57" spans="1:23" ht="20.100000000000001" customHeight="1" x14ac:dyDescent="0.3">
      <c r="A57" s="20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203" t="str">
        <f>IF(ISBLANK(Table35[[#This Row],[Paid to Date]]),"",DATE(YEAR(Table35[[#This Row],[Paid to Date]]),MONTH(Table35[[#This Row],[Paid to Date]]),DAY(Table35[[#This Row],[Paid to Date]])+90))</f>
        <v/>
      </c>
      <c r="M57" s="15"/>
      <c r="N57" s="15"/>
      <c r="O57" s="15"/>
      <c r="P57" s="203" t="str">
        <f>IFERROR(DATE(YEAR(Table35[[#This Row],[Lapsed Date]]),MONTH(Table35[[#This Row],[Lapsed Date]]),DAY(Table35[[#This Row],[Lapsed Date]])+20),"")</f>
        <v/>
      </c>
      <c r="Q57" s="203" t="str">
        <f>IFERROR(EDATE(Table35[[#This Row],[Lapsed Date]],12),"")</f>
        <v/>
      </c>
      <c r="R57" s="203" t="str">
        <f>IFERROR(EDATE(Table35[[#This Row],[Lapsed Date]],24),"")</f>
        <v/>
      </c>
      <c r="S57" s="205">
        <f ca="1">DATEDIF(Table35[[#This Row],[Paid to Date]],TODAY(), "M")</f>
        <v>1516</v>
      </c>
      <c r="T57" s="203">
        <f ca="1">Table35[[#This Row],[Number of Monthly premiums missing]]*(Table35[[#This Row],[Lapsed API]]/12)</f>
        <v>0</v>
      </c>
      <c r="U57" s="204">
        <f>(Table35[[#This Row],[Lapsed API]]/12)*3</f>
        <v>0</v>
      </c>
      <c r="V57" s="15"/>
      <c r="W57" s="19"/>
    </row>
    <row r="58" spans="1:23" ht="20.100000000000001" customHeight="1" x14ac:dyDescent="0.3">
      <c r="A58" s="20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03" t="str">
        <f>IF(ISBLANK(Table35[[#This Row],[Paid to Date]]),"",DATE(YEAR(Table35[[#This Row],[Paid to Date]]),MONTH(Table35[[#This Row],[Paid to Date]]),DAY(Table35[[#This Row],[Paid to Date]])+90))</f>
        <v/>
      </c>
      <c r="M58" s="15"/>
      <c r="N58" s="15"/>
      <c r="O58" s="15"/>
      <c r="P58" s="203" t="str">
        <f>IFERROR(DATE(YEAR(Table35[[#This Row],[Lapsed Date]]),MONTH(Table35[[#This Row],[Lapsed Date]]),DAY(Table35[[#This Row],[Lapsed Date]])+20),"")</f>
        <v/>
      </c>
      <c r="Q58" s="203" t="str">
        <f>IFERROR(EDATE(Table35[[#This Row],[Lapsed Date]],12),"")</f>
        <v/>
      </c>
      <c r="R58" s="203" t="str">
        <f>IFERROR(EDATE(Table35[[#This Row],[Lapsed Date]],24),"")</f>
        <v/>
      </c>
      <c r="S58" s="205">
        <f ca="1">DATEDIF(Table35[[#This Row],[Paid to Date]],TODAY(), "M")</f>
        <v>1516</v>
      </c>
      <c r="T58" s="203">
        <f ca="1">Table35[[#This Row],[Number of Monthly premiums missing]]*(Table35[[#This Row],[Lapsed API]]/12)</f>
        <v>0</v>
      </c>
      <c r="U58" s="204">
        <f>(Table35[[#This Row],[Lapsed API]]/12)*3</f>
        <v>0</v>
      </c>
      <c r="V58" s="15"/>
      <c r="W58" s="19"/>
    </row>
    <row r="59" spans="1:23" ht="20.100000000000001" customHeight="1" x14ac:dyDescent="0.3">
      <c r="A59" s="20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03" t="str">
        <f>IF(ISBLANK(Table35[[#This Row],[Paid to Date]]),"",DATE(YEAR(Table35[[#This Row],[Paid to Date]]),MONTH(Table35[[#This Row],[Paid to Date]]),DAY(Table35[[#This Row],[Paid to Date]])+90))</f>
        <v/>
      </c>
      <c r="M59" s="15"/>
      <c r="N59" s="15"/>
      <c r="O59" s="15"/>
      <c r="P59" s="203" t="str">
        <f>IFERROR(DATE(YEAR(Table35[[#This Row],[Lapsed Date]]),MONTH(Table35[[#This Row],[Lapsed Date]]),DAY(Table35[[#This Row],[Lapsed Date]])+20),"")</f>
        <v/>
      </c>
      <c r="Q59" s="203" t="str">
        <f>IFERROR(EDATE(Table35[[#This Row],[Lapsed Date]],12),"")</f>
        <v/>
      </c>
      <c r="R59" s="203" t="str">
        <f>IFERROR(EDATE(Table35[[#This Row],[Lapsed Date]],24),"")</f>
        <v/>
      </c>
      <c r="S59" s="205">
        <f ca="1">DATEDIF(Table35[[#This Row],[Paid to Date]],TODAY(), "M")</f>
        <v>1516</v>
      </c>
      <c r="T59" s="203">
        <f ca="1">Table35[[#This Row],[Number of Monthly premiums missing]]*(Table35[[#This Row],[Lapsed API]]/12)</f>
        <v>0</v>
      </c>
      <c r="U59" s="204">
        <f>(Table35[[#This Row],[Lapsed API]]/12)*3</f>
        <v>0</v>
      </c>
      <c r="V59" s="15"/>
      <c r="W59" s="19"/>
    </row>
    <row r="60" spans="1:23" ht="20.100000000000001" customHeight="1" x14ac:dyDescent="0.3">
      <c r="A60" s="20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03" t="str">
        <f>IF(ISBLANK(Table35[[#This Row],[Paid to Date]]),"",DATE(YEAR(Table35[[#This Row],[Paid to Date]]),MONTH(Table35[[#This Row],[Paid to Date]]),DAY(Table35[[#This Row],[Paid to Date]])+90))</f>
        <v/>
      </c>
      <c r="M60" s="15"/>
      <c r="N60" s="15"/>
      <c r="O60" s="15"/>
      <c r="P60" s="203" t="str">
        <f>IFERROR(DATE(YEAR(Table35[[#This Row],[Lapsed Date]]),MONTH(Table35[[#This Row],[Lapsed Date]]),DAY(Table35[[#This Row],[Lapsed Date]])+20),"")</f>
        <v/>
      </c>
      <c r="Q60" s="203" t="str">
        <f>IFERROR(EDATE(Table35[[#This Row],[Lapsed Date]],12),"")</f>
        <v/>
      </c>
      <c r="R60" s="203" t="str">
        <f>IFERROR(EDATE(Table35[[#This Row],[Lapsed Date]],24),"")</f>
        <v/>
      </c>
      <c r="S60" s="205">
        <f ca="1">DATEDIF(Table35[[#This Row],[Paid to Date]],TODAY(), "M")</f>
        <v>1516</v>
      </c>
      <c r="T60" s="203">
        <f ca="1">Table35[[#This Row],[Number of Monthly premiums missing]]*(Table35[[#This Row],[Lapsed API]]/12)</f>
        <v>0</v>
      </c>
      <c r="U60" s="204">
        <f>(Table35[[#This Row],[Lapsed API]]/12)*3</f>
        <v>0</v>
      </c>
      <c r="V60" s="15"/>
      <c r="W60" s="19"/>
    </row>
    <row r="61" spans="1:23" ht="20.100000000000001" customHeight="1" x14ac:dyDescent="0.3">
      <c r="A61" s="20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03" t="str">
        <f>IF(ISBLANK(Table35[[#This Row],[Paid to Date]]),"",DATE(YEAR(Table35[[#This Row],[Paid to Date]]),MONTH(Table35[[#This Row],[Paid to Date]]),DAY(Table35[[#This Row],[Paid to Date]])+90))</f>
        <v/>
      </c>
      <c r="M61" s="15"/>
      <c r="N61" s="15"/>
      <c r="O61" s="15"/>
      <c r="P61" s="203" t="str">
        <f>IFERROR(DATE(YEAR(Table35[[#This Row],[Lapsed Date]]),MONTH(Table35[[#This Row],[Lapsed Date]]),DAY(Table35[[#This Row],[Lapsed Date]])+20),"")</f>
        <v/>
      </c>
      <c r="Q61" s="203" t="str">
        <f>IFERROR(EDATE(Table35[[#This Row],[Lapsed Date]],12),"")</f>
        <v/>
      </c>
      <c r="R61" s="203" t="str">
        <f>IFERROR(EDATE(Table35[[#This Row],[Lapsed Date]],24),"")</f>
        <v/>
      </c>
      <c r="S61" s="205">
        <f ca="1">DATEDIF(Table35[[#This Row],[Paid to Date]],TODAY(), "M")</f>
        <v>1516</v>
      </c>
      <c r="T61" s="203">
        <f ca="1">Table35[[#This Row],[Number of Monthly premiums missing]]*(Table35[[#This Row],[Lapsed API]]/12)</f>
        <v>0</v>
      </c>
      <c r="U61" s="204">
        <f>(Table35[[#This Row],[Lapsed API]]/12)*3</f>
        <v>0</v>
      </c>
      <c r="V61" s="15"/>
      <c r="W61" s="19"/>
    </row>
    <row r="62" spans="1:23" ht="20.100000000000001" customHeight="1" x14ac:dyDescent="0.3">
      <c r="A62" s="20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03" t="str">
        <f>IF(ISBLANK(Table35[[#This Row],[Paid to Date]]),"",DATE(YEAR(Table35[[#This Row],[Paid to Date]]),MONTH(Table35[[#This Row],[Paid to Date]]),DAY(Table35[[#This Row],[Paid to Date]])+90))</f>
        <v/>
      </c>
      <c r="M62" s="15"/>
      <c r="N62" s="15"/>
      <c r="O62" s="15"/>
      <c r="P62" s="203" t="str">
        <f>IFERROR(DATE(YEAR(Table35[[#This Row],[Lapsed Date]]),MONTH(Table35[[#This Row],[Lapsed Date]]),DAY(Table35[[#This Row],[Lapsed Date]])+20),"")</f>
        <v/>
      </c>
      <c r="Q62" s="203" t="str">
        <f>IFERROR(EDATE(Table35[[#This Row],[Lapsed Date]],12),"")</f>
        <v/>
      </c>
      <c r="R62" s="203" t="str">
        <f>IFERROR(EDATE(Table35[[#This Row],[Lapsed Date]],24),"")</f>
        <v/>
      </c>
      <c r="S62" s="205">
        <f ca="1">DATEDIF(Table35[[#This Row],[Paid to Date]],TODAY(), "M")</f>
        <v>1516</v>
      </c>
      <c r="T62" s="203">
        <f ca="1">Table35[[#This Row],[Number of Monthly premiums missing]]*(Table35[[#This Row],[Lapsed API]]/12)</f>
        <v>0</v>
      </c>
      <c r="U62" s="204">
        <f>(Table35[[#This Row],[Lapsed API]]/12)*3</f>
        <v>0</v>
      </c>
      <c r="V62" s="15"/>
      <c r="W62" s="19"/>
    </row>
    <row r="63" spans="1:23" ht="20.100000000000001" customHeight="1" x14ac:dyDescent="0.3">
      <c r="A63" s="20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03" t="str">
        <f>IF(ISBLANK(Table35[[#This Row],[Paid to Date]]),"",DATE(YEAR(Table35[[#This Row],[Paid to Date]]),MONTH(Table35[[#This Row],[Paid to Date]]),DAY(Table35[[#This Row],[Paid to Date]])+90))</f>
        <v/>
      </c>
      <c r="M63" s="15"/>
      <c r="N63" s="15"/>
      <c r="O63" s="15"/>
      <c r="P63" s="203" t="str">
        <f>IFERROR(DATE(YEAR(Table35[[#This Row],[Lapsed Date]]),MONTH(Table35[[#This Row],[Lapsed Date]]),DAY(Table35[[#This Row],[Lapsed Date]])+20),"")</f>
        <v/>
      </c>
      <c r="Q63" s="203" t="str">
        <f>IFERROR(EDATE(Table35[[#This Row],[Lapsed Date]],12),"")</f>
        <v/>
      </c>
      <c r="R63" s="203" t="str">
        <f>IFERROR(EDATE(Table35[[#This Row],[Lapsed Date]],24),"")</f>
        <v/>
      </c>
      <c r="S63" s="205">
        <f ca="1">DATEDIF(Table35[[#This Row],[Paid to Date]],TODAY(), "M")</f>
        <v>1516</v>
      </c>
      <c r="T63" s="203">
        <f ca="1">Table35[[#This Row],[Number of Monthly premiums missing]]*(Table35[[#This Row],[Lapsed API]]/12)</f>
        <v>0</v>
      </c>
      <c r="U63" s="204">
        <f>(Table35[[#This Row],[Lapsed API]]/12)*3</f>
        <v>0</v>
      </c>
      <c r="V63" s="15"/>
      <c r="W63" s="19"/>
    </row>
    <row r="64" spans="1:23" ht="20.100000000000001" customHeight="1" x14ac:dyDescent="0.3">
      <c r="A64" s="20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03" t="str">
        <f>IF(ISBLANK(Table35[[#This Row],[Paid to Date]]),"",DATE(YEAR(Table35[[#This Row],[Paid to Date]]),MONTH(Table35[[#This Row],[Paid to Date]]),DAY(Table35[[#This Row],[Paid to Date]])+90))</f>
        <v/>
      </c>
      <c r="M64" s="15"/>
      <c r="N64" s="15"/>
      <c r="O64" s="15"/>
      <c r="P64" s="203" t="str">
        <f>IFERROR(DATE(YEAR(Table35[[#This Row],[Lapsed Date]]),MONTH(Table35[[#This Row],[Lapsed Date]]),DAY(Table35[[#This Row],[Lapsed Date]])+20),"")</f>
        <v/>
      </c>
      <c r="Q64" s="203" t="str">
        <f>IFERROR(EDATE(Table35[[#This Row],[Lapsed Date]],12),"")</f>
        <v/>
      </c>
      <c r="R64" s="203" t="str">
        <f>IFERROR(EDATE(Table35[[#This Row],[Lapsed Date]],24),"")</f>
        <v/>
      </c>
      <c r="S64" s="205">
        <f ca="1">DATEDIF(Table35[[#This Row],[Paid to Date]],TODAY(), "M")</f>
        <v>1516</v>
      </c>
      <c r="T64" s="203">
        <f ca="1">Table35[[#This Row],[Number of Monthly premiums missing]]*(Table35[[#This Row],[Lapsed API]]/12)</f>
        <v>0</v>
      </c>
      <c r="U64" s="204">
        <f>(Table35[[#This Row],[Lapsed API]]/12)*3</f>
        <v>0</v>
      </c>
      <c r="V64" s="15"/>
      <c r="W64" s="19"/>
    </row>
    <row r="65" spans="1:23" ht="20.100000000000001" customHeight="1" x14ac:dyDescent="0.3">
      <c r="A65" s="20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03" t="str">
        <f>IF(ISBLANK(Table35[[#This Row],[Paid to Date]]),"",DATE(YEAR(Table35[[#This Row],[Paid to Date]]),MONTH(Table35[[#This Row],[Paid to Date]]),DAY(Table35[[#This Row],[Paid to Date]])+90))</f>
        <v/>
      </c>
      <c r="M65" s="15"/>
      <c r="N65" s="15"/>
      <c r="O65" s="15"/>
      <c r="P65" s="203" t="str">
        <f>IFERROR(DATE(YEAR(Table35[[#This Row],[Lapsed Date]]),MONTH(Table35[[#This Row],[Lapsed Date]]),DAY(Table35[[#This Row],[Lapsed Date]])+20),"")</f>
        <v/>
      </c>
      <c r="Q65" s="203" t="str">
        <f>IFERROR(EDATE(Table35[[#This Row],[Lapsed Date]],12),"")</f>
        <v/>
      </c>
      <c r="R65" s="203" t="str">
        <f>IFERROR(EDATE(Table35[[#This Row],[Lapsed Date]],24),"")</f>
        <v/>
      </c>
      <c r="S65" s="205">
        <f ca="1">DATEDIF(Table35[[#This Row],[Paid to Date]],TODAY(), "M")</f>
        <v>1516</v>
      </c>
      <c r="T65" s="203">
        <f ca="1">Table35[[#This Row],[Number of Monthly premiums missing]]*(Table35[[#This Row],[Lapsed API]]/12)</f>
        <v>0</v>
      </c>
      <c r="U65" s="204">
        <f>(Table35[[#This Row],[Lapsed API]]/12)*3</f>
        <v>0</v>
      </c>
      <c r="V65" s="15"/>
      <c r="W65" s="19"/>
    </row>
    <row r="66" spans="1:23" ht="20.100000000000001" customHeight="1" x14ac:dyDescent="0.3">
      <c r="A66" s="20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203" t="str">
        <f>IF(ISBLANK(Table35[[#This Row],[Paid to Date]]),"",DATE(YEAR(Table35[[#This Row],[Paid to Date]]),MONTH(Table35[[#This Row],[Paid to Date]]),DAY(Table35[[#This Row],[Paid to Date]])+90))</f>
        <v/>
      </c>
      <c r="M66" s="15"/>
      <c r="N66" s="15"/>
      <c r="O66" s="15"/>
      <c r="P66" s="203" t="str">
        <f>IFERROR(DATE(YEAR(Table35[[#This Row],[Lapsed Date]]),MONTH(Table35[[#This Row],[Lapsed Date]]),DAY(Table35[[#This Row],[Lapsed Date]])+20),"")</f>
        <v/>
      </c>
      <c r="Q66" s="203" t="str">
        <f>IFERROR(EDATE(Table35[[#This Row],[Lapsed Date]],12),"")</f>
        <v/>
      </c>
      <c r="R66" s="203" t="str">
        <f>IFERROR(EDATE(Table35[[#This Row],[Lapsed Date]],24),"")</f>
        <v/>
      </c>
      <c r="S66" s="205">
        <f ca="1">DATEDIF(Table35[[#This Row],[Paid to Date]],TODAY(), "M")</f>
        <v>1516</v>
      </c>
      <c r="T66" s="203">
        <f ca="1">Table35[[#This Row],[Number of Monthly premiums missing]]*(Table35[[#This Row],[Lapsed API]]/12)</f>
        <v>0</v>
      </c>
      <c r="U66" s="204">
        <f>(Table35[[#This Row],[Lapsed API]]/12)*3</f>
        <v>0</v>
      </c>
      <c r="V66" s="15"/>
      <c r="W66" s="19"/>
    </row>
    <row r="67" spans="1:23" ht="20.100000000000001" customHeight="1" x14ac:dyDescent="0.3">
      <c r="A67" s="20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03" t="str">
        <f>IF(ISBLANK(Table35[[#This Row],[Paid to Date]]),"",DATE(YEAR(Table35[[#This Row],[Paid to Date]]),MONTH(Table35[[#This Row],[Paid to Date]]),DAY(Table35[[#This Row],[Paid to Date]])+90))</f>
        <v/>
      </c>
      <c r="M67" s="15"/>
      <c r="N67" s="15"/>
      <c r="O67" s="15"/>
      <c r="P67" s="203" t="str">
        <f>IFERROR(DATE(YEAR(Table35[[#This Row],[Lapsed Date]]),MONTH(Table35[[#This Row],[Lapsed Date]]),DAY(Table35[[#This Row],[Lapsed Date]])+20),"")</f>
        <v/>
      </c>
      <c r="Q67" s="203" t="str">
        <f>IFERROR(EDATE(Table35[[#This Row],[Lapsed Date]],12),"")</f>
        <v/>
      </c>
      <c r="R67" s="203" t="str">
        <f>IFERROR(EDATE(Table35[[#This Row],[Lapsed Date]],24),"")</f>
        <v/>
      </c>
      <c r="S67" s="205">
        <f ca="1">DATEDIF(Table35[[#This Row],[Paid to Date]],TODAY(), "M")</f>
        <v>1516</v>
      </c>
      <c r="T67" s="203">
        <f ca="1">Table35[[#This Row],[Number of Monthly premiums missing]]*(Table35[[#This Row],[Lapsed API]]/12)</f>
        <v>0</v>
      </c>
      <c r="U67" s="204">
        <f>(Table35[[#This Row],[Lapsed API]]/12)*3</f>
        <v>0</v>
      </c>
      <c r="V67" s="15"/>
      <c r="W67" s="19"/>
    </row>
    <row r="68" spans="1:23" ht="20.100000000000001" customHeight="1" x14ac:dyDescent="0.3">
      <c r="A68" s="20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203" t="str">
        <f>IF(ISBLANK(Table35[[#This Row],[Paid to Date]]),"",DATE(YEAR(Table35[[#This Row],[Paid to Date]]),MONTH(Table35[[#This Row],[Paid to Date]]),DAY(Table35[[#This Row],[Paid to Date]])+90))</f>
        <v/>
      </c>
      <c r="M68" s="15"/>
      <c r="N68" s="15"/>
      <c r="O68" s="15"/>
      <c r="P68" s="203" t="str">
        <f>IFERROR(DATE(YEAR(Table35[[#This Row],[Lapsed Date]]),MONTH(Table35[[#This Row],[Lapsed Date]]),DAY(Table35[[#This Row],[Lapsed Date]])+20),"")</f>
        <v/>
      </c>
      <c r="Q68" s="203" t="str">
        <f>IFERROR(EDATE(Table35[[#This Row],[Lapsed Date]],12),"")</f>
        <v/>
      </c>
      <c r="R68" s="203" t="str">
        <f>IFERROR(EDATE(Table35[[#This Row],[Lapsed Date]],24),"")</f>
        <v/>
      </c>
      <c r="S68" s="205">
        <f ca="1">DATEDIF(Table35[[#This Row],[Paid to Date]],TODAY(), "M")</f>
        <v>1516</v>
      </c>
      <c r="T68" s="203">
        <f ca="1">Table35[[#This Row],[Number of Monthly premiums missing]]*(Table35[[#This Row],[Lapsed API]]/12)</f>
        <v>0</v>
      </c>
      <c r="U68" s="204">
        <f>(Table35[[#This Row],[Lapsed API]]/12)*3</f>
        <v>0</v>
      </c>
      <c r="V68" s="15"/>
      <c r="W68" s="19"/>
    </row>
    <row r="69" spans="1:23" ht="20.100000000000001" customHeight="1" x14ac:dyDescent="0.3">
      <c r="A69" s="20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03" t="str">
        <f>IF(ISBLANK(Table35[[#This Row],[Paid to Date]]),"",DATE(YEAR(Table35[[#This Row],[Paid to Date]]),MONTH(Table35[[#This Row],[Paid to Date]]),DAY(Table35[[#This Row],[Paid to Date]])+90))</f>
        <v/>
      </c>
      <c r="M69" s="15"/>
      <c r="N69" s="15"/>
      <c r="O69" s="15"/>
      <c r="P69" s="203" t="str">
        <f>IFERROR(DATE(YEAR(Table35[[#This Row],[Lapsed Date]]),MONTH(Table35[[#This Row],[Lapsed Date]]),DAY(Table35[[#This Row],[Lapsed Date]])+20),"")</f>
        <v/>
      </c>
      <c r="Q69" s="203" t="str">
        <f>IFERROR(EDATE(Table35[[#This Row],[Lapsed Date]],12),"")</f>
        <v/>
      </c>
      <c r="R69" s="203" t="str">
        <f>IFERROR(EDATE(Table35[[#This Row],[Lapsed Date]],24),"")</f>
        <v/>
      </c>
      <c r="S69" s="205">
        <f ca="1">DATEDIF(Table35[[#This Row],[Paid to Date]],TODAY(), "M")</f>
        <v>1516</v>
      </c>
      <c r="T69" s="203">
        <f ca="1">Table35[[#This Row],[Number of Monthly premiums missing]]*(Table35[[#This Row],[Lapsed API]]/12)</f>
        <v>0</v>
      </c>
      <c r="U69" s="204">
        <f>(Table35[[#This Row],[Lapsed API]]/12)*3</f>
        <v>0</v>
      </c>
      <c r="V69" s="15"/>
      <c r="W69" s="19"/>
    </row>
    <row r="70" spans="1:23" ht="20.100000000000001" customHeight="1" x14ac:dyDescent="0.3">
      <c r="A70" s="20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203" t="str">
        <f>IF(ISBLANK(Table35[[#This Row],[Paid to Date]]),"",DATE(YEAR(Table35[[#This Row],[Paid to Date]]),MONTH(Table35[[#This Row],[Paid to Date]]),DAY(Table35[[#This Row],[Paid to Date]])+90))</f>
        <v/>
      </c>
      <c r="M70" s="15"/>
      <c r="N70" s="15"/>
      <c r="O70" s="15"/>
      <c r="P70" s="203" t="str">
        <f>IFERROR(DATE(YEAR(Table35[[#This Row],[Lapsed Date]]),MONTH(Table35[[#This Row],[Lapsed Date]]),DAY(Table35[[#This Row],[Lapsed Date]])+20),"")</f>
        <v/>
      </c>
      <c r="Q70" s="203" t="str">
        <f>IFERROR(EDATE(Table35[[#This Row],[Lapsed Date]],12),"")</f>
        <v/>
      </c>
      <c r="R70" s="203" t="str">
        <f>IFERROR(EDATE(Table35[[#This Row],[Lapsed Date]],24),"")</f>
        <v/>
      </c>
      <c r="S70" s="205">
        <f ca="1">DATEDIF(Table35[[#This Row],[Paid to Date]],TODAY(), "M")</f>
        <v>1516</v>
      </c>
      <c r="T70" s="203">
        <f ca="1">Table35[[#This Row],[Number of Monthly premiums missing]]*(Table35[[#This Row],[Lapsed API]]/12)</f>
        <v>0</v>
      </c>
      <c r="U70" s="204">
        <f>(Table35[[#This Row],[Lapsed API]]/12)*3</f>
        <v>0</v>
      </c>
      <c r="V70" s="15"/>
      <c r="W70" s="19"/>
    </row>
    <row r="71" spans="1:23" ht="20.100000000000001" customHeight="1" x14ac:dyDescent="0.3">
      <c r="A71" s="20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03" t="str">
        <f>IF(ISBLANK(Table35[[#This Row],[Paid to Date]]),"",DATE(YEAR(Table35[[#This Row],[Paid to Date]]),MONTH(Table35[[#This Row],[Paid to Date]]),DAY(Table35[[#This Row],[Paid to Date]])+90))</f>
        <v/>
      </c>
      <c r="M71" s="15"/>
      <c r="N71" s="15"/>
      <c r="O71" s="15"/>
      <c r="P71" s="203" t="str">
        <f>IFERROR(DATE(YEAR(Table35[[#This Row],[Lapsed Date]]),MONTH(Table35[[#This Row],[Lapsed Date]]),DAY(Table35[[#This Row],[Lapsed Date]])+20),"")</f>
        <v/>
      </c>
      <c r="Q71" s="203" t="str">
        <f>IFERROR(EDATE(Table35[[#This Row],[Lapsed Date]],12),"")</f>
        <v/>
      </c>
      <c r="R71" s="203" t="str">
        <f>IFERROR(EDATE(Table35[[#This Row],[Lapsed Date]],24),"")</f>
        <v/>
      </c>
      <c r="S71" s="205">
        <f ca="1">DATEDIF(Table35[[#This Row],[Paid to Date]],TODAY(), "M")</f>
        <v>1516</v>
      </c>
      <c r="T71" s="203">
        <f ca="1">Table35[[#This Row],[Number of Monthly premiums missing]]*(Table35[[#This Row],[Lapsed API]]/12)</f>
        <v>0</v>
      </c>
      <c r="U71" s="204">
        <f>(Table35[[#This Row],[Lapsed API]]/12)*3</f>
        <v>0</v>
      </c>
      <c r="V71" s="15"/>
      <c r="W71" s="19"/>
    </row>
    <row r="72" spans="1:23" ht="20.100000000000001" customHeight="1" x14ac:dyDescent="0.3">
      <c r="A72" s="20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03" t="str">
        <f>IF(ISBLANK(Table35[[#This Row],[Paid to Date]]),"",DATE(YEAR(Table35[[#This Row],[Paid to Date]]),MONTH(Table35[[#This Row],[Paid to Date]]),DAY(Table35[[#This Row],[Paid to Date]])+90))</f>
        <v/>
      </c>
      <c r="M72" s="15"/>
      <c r="N72" s="15"/>
      <c r="O72" s="15"/>
      <c r="P72" s="203" t="str">
        <f>IFERROR(DATE(YEAR(Table35[[#This Row],[Lapsed Date]]),MONTH(Table35[[#This Row],[Lapsed Date]]),DAY(Table35[[#This Row],[Lapsed Date]])+20),"")</f>
        <v/>
      </c>
      <c r="Q72" s="203" t="str">
        <f>IFERROR(EDATE(Table35[[#This Row],[Lapsed Date]],12),"")</f>
        <v/>
      </c>
      <c r="R72" s="203" t="str">
        <f>IFERROR(EDATE(Table35[[#This Row],[Lapsed Date]],24),"")</f>
        <v/>
      </c>
      <c r="S72" s="205">
        <f ca="1">DATEDIF(Table35[[#This Row],[Paid to Date]],TODAY(), "M")</f>
        <v>1516</v>
      </c>
      <c r="T72" s="203">
        <f ca="1">Table35[[#This Row],[Number of Monthly premiums missing]]*(Table35[[#This Row],[Lapsed API]]/12)</f>
        <v>0</v>
      </c>
      <c r="U72" s="204">
        <f>(Table35[[#This Row],[Lapsed API]]/12)*3</f>
        <v>0</v>
      </c>
      <c r="V72" s="15"/>
      <c r="W72" s="19"/>
    </row>
    <row r="73" spans="1:23" ht="20.100000000000001" customHeight="1" x14ac:dyDescent="0.3">
      <c r="A73" s="20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203" t="str">
        <f>IF(ISBLANK(Table35[[#This Row],[Paid to Date]]),"",DATE(YEAR(Table35[[#This Row],[Paid to Date]]),MONTH(Table35[[#This Row],[Paid to Date]]),DAY(Table35[[#This Row],[Paid to Date]])+90))</f>
        <v/>
      </c>
      <c r="M73" s="15"/>
      <c r="N73" s="15"/>
      <c r="O73" s="15"/>
      <c r="P73" s="203" t="str">
        <f>IFERROR(DATE(YEAR(Table35[[#This Row],[Lapsed Date]]),MONTH(Table35[[#This Row],[Lapsed Date]]),DAY(Table35[[#This Row],[Lapsed Date]])+20),"")</f>
        <v/>
      </c>
      <c r="Q73" s="203" t="str">
        <f>IFERROR(EDATE(Table35[[#This Row],[Lapsed Date]],12),"")</f>
        <v/>
      </c>
      <c r="R73" s="203" t="str">
        <f>IFERROR(EDATE(Table35[[#This Row],[Lapsed Date]],24),"")</f>
        <v/>
      </c>
      <c r="S73" s="205">
        <f ca="1">DATEDIF(Table35[[#This Row],[Paid to Date]],TODAY(), "M")</f>
        <v>1516</v>
      </c>
      <c r="T73" s="203">
        <f ca="1">Table35[[#This Row],[Number of Monthly premiums missing]]*(Table35[[#This Row],[Lapsed API]]/12)</f>
        <v>0</v>
      </c>
      <c r="U73" s="204">
        <f>(Table35[[#This Row],[Lapsed API]]/12)*3</f>
        <v>0</v>
      </c>
      <c r="V73" s="15"/>
      <c r="W73" s="19"/>
    </row>
    <row r="74" spans="1:23" ht="20.100000000000001" customHeight="1" x14ac:dyDescent="0.3">
      <c r="A74" s="20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203" t="str">
        <f>IF(ISBLANK(Table35[[#This Row],[Paid to Date]]),"",DATE(YEAR(Table35[[#This Row],[Paid to Date]]),MONTH(Table35[[#This Row],[Paid to Date]]),DAY(Table35[[#This Row],[Paid to Date]])+90))</f>
        <v/>
      </c>
      <c r="M74" s="15"/>
      <c r="N74" s="15"/>
      <c r="O74" s="15"/>
      <c r="P74" s="203" t="str">
        <f>IFERROR(DATE(YEAR(Table35[[#This Row],[Lapsed Date]]),MONTH(Table35[[#This Row],[Lapsed Date]]),DAY(Table35[[#This Row],[Lapsed Date]])+20),"")</f>
        <v/>
      </c>
      <c r="Q74" s="203" t="str">
        <f>IFERROR(EDATE(Table35[[#This Row],[Lapsed Date]],12),"")</f>
        <v/>
      </c>
      <c r="R74" s="203" t="str">
        <f>IFERROR(EDATE(Table35[[#This Row],[Lapsed Date]],24),"")</f>
        <v/>
      </c>
      <c r="S74" s="205">
        <f ca="1">DATEDIF(Table35[[#This Row],[Paid to Date]],TODAY(), "M")</f>
        <v>1516</v>
      </c>
      <c r="T74" s="203">
        <f ca="1">Table35[[#This Row],[Number of Monthly premiums missing]]*(Table35[[#This Row],[Lapsed API]]/12)</f>
        <v>0</v>
      </c>
      <c r="U74" s="204">
        <f>(Table35[[#This Row],[Lapsed API]]/12)*3</f>
        <v>0</v>
      </c>
      <c r="V74" s="15"/>
      <c r="W74" s="19"/>
    </row>
    <row r="75" spans="1:23" ht="20.100000000000001" customHeight="1" x14ac:dyDescent="0.3">
      <c r="A75" s="20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203" t="str">
        <f>IF(ISBLANK(Table35[[#This Row],[Paid to Date]]),"",DATE(YEAR(Table35[[#This Row],[Paid to Date]]),MONTH(Table35[[#This Row],[Paid to Date]]),DAY(Table35[[#This Row],[Paid to Date]])+90))</f>
        <v/>
      </c>
      <c r="M75" s="15"/>
      <c r="N75" s="15"/>
      <c r="O75" s="15"/>
      <c r="P75" s="203" t="str">
        <f>IFERROR(DATE(YEAR(Table35[[#This Row],[Lapsed Date]]),MONTH(Table35[[#This Row],[Lapsed Date]]),DAY(Table35[[#This Row],[Lapsed Date]])+20),"")</f>
        <v/>
      </c>
      <c r="Q75" s="203" t="str">
        <f>IFERROR(EDATE(Table35[[#This Row],[Lapsed Date]],12),"")</f>
        <v/>
      </c>
      <c r="R75" s="203" t="str">
        <f>IFERROR(EDATE(Table35[[#This Row],[Lapsed Date]],24),"")</f>
        <v/>
      </c>
      <c r="S75" s="205">
        <f ca="1">DATEDIF(Table35[[#This Row],[Paid to Date]],TODAY(), "M")</f>
        <v>1516</v>
      </c>
      <c r="T75" s="203">
        <f ca="1">Table35[[#This Row],[Number of Monthly premiums missing]]*(Table35[[#This Row],[Lapsed API]]/12)</f>
        <v>0</v>
      </c>
      <c r="U75" s="204">
        <f>(Table35[[#This Row],[Lapsed API]]/12)*3</f>
        <v>0</v>
      </c>
      <c r="V75" s="15"/>
      <c r="W75" s="19"/>
    </row>
    <row r="76" spans="1:23" ht="20.100000000000001" customHeight="1" x14ac:dyDescent="0.3">
      <c r="A76" s="20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03" t="str">
        <f>IF(ISBLANK(Table35[[#This Row],[Paid to Date]]),"",DATE(YEAR(Table35[[#This Row],[Paid to Date]]),MONTH(Table35[[#This Row],[Paid to Date]]),DAY(Table35[[#This Row],[Paid to Date]])+90))</f>
        <v/>
      </c>
      <c r="M76" s="15"/>
      <c r="N76" s="15"/>
      <c r="O76" s="15"/>
      <c r="P76" s="203" t="str">
        <f>IFERROR(DATE(YEAR(Table35[[#This Row],[Lapsed Date]]),MONTH(Table35[[#This Row],[Lapsed Date]]),DAY(Table35[[#This Row],[Lapsed Date]])+20),"")</f>
        <v/>
      </c>
      <c r="Q76" s="203" t="str">
        <f>IFERROR(EDATE(Table35[[#This Row],[Lapsed Date]],12),"")</f>
        <v/>
      </c>
      <c r="R76" s="203" t="str">
        <f>IFERROR(EDATE(Table35[[#This Row],[Lapsed Date]],24),"")</f>
        <v/>
      </c>
      <c r="S76" s="205">
        <f ca="1">DATEDIF(Table35[[#This Row],[Paid to Date]],TODAY(), "M")</f>
        <v>1516</v>
      </c>
      <c r="T76" s="203">
        <f ca="1">Table35[[#This Row],[Number of Monthly premiums missing]]*(Table35[[#This Row],[Lapsed API]]/12)</f>
        <v>0</v>
      </c>
      <c r="U76" s="204">
        <f>(Table35[[#This Row],[Lapsed API]]/12)*3</f>
        <v>0</v>
      </c>
      <c r="V76" s="15"/>
      <c r="W76" s="19"/>
    </row>
    <row r="77" spans="1:23" ht="20.100000000000001" customHeight="1" x14ac:dyDescent="0.3">
      <c r="A77" s="20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203" t="str">
        <f>IF(ISBLANK(Table35[[#This Row],[Paid to Date]]),"",DATE(YEAR(Table35[[#This Row],[Paid to Date]]),MONTH(Table35[[#This Row],[Paid to Date]]),DAY(Table35[[#This Row],[Paid to Date]])+90))</f>
        <v/>
      </c>
      <c r="M77" s="15"/>
      <c r="N77" s="15"/>
      <c r="O77" s="15"/>
      <c r="P77" s="203" t="str">
        <f>IFERROR(DATE(YEAR(Table35[[#This Row],[Lapsed Date]]),MONTH(Table35[[#This Row],[Lapsed Date]]),DAY(Table35[[#This Row],[Lapsed Date]])+20),"")</f>
        <v/>
      </c>
      <c r="Q77" s="203" t="str">
        <f>IFERROR(EDATE(Table35[[#This Row],[Lapsed Date]],12),"")</f>
        <v/>
      </c>
      <c r="R77" s="203" t="str">
        <f>IFERROR(EDATE(Table35[[#This Row],[Lapsed Date]],24),"")</f>
        <v/>
      </c>
      <c r="S77" s="205">
        <f ca="1">DATEDIF(Table35[[#This Row],[Paid to Date]],TODAY(), "M")</f>
        <v>1516</v>
      </c>
      <c r="T77" s="203">
        <f ca="1">Table35[[#This Row],[Number of Monthly premiums missing]]*(Table35[[#This Row],[Lapsed API]]/12)</f>
        <v>0</v>
      </c>
      <c r="U77" s="204">
        <f>(Table35[[#This Row],[Lapsed API]]/12)*3</f>
        <v>0</v>
      </c>
      <c r="V77" s="15"/>
      <c r="W77" s="19"/>
    </row>
    <row r="78" spans="1:23" ht="20.100000000000001" customHeight="1" x14ac:dyDescent="0.3">
      <c r="A78" s="20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203" t="str">
        <f>IF(ISBLANK(Table35[[#This Row],[Paid to Date]]),"",DATE(YEAR(Table35[[#This Row],[Paid to Date]]),MONTH(Table35[[#This Row],[Paid to Date]]),DAY(Table35[[#This Row],[Paid to Date]])+90))</f>
        <v/>
      </c>
      <c r="M78" s="15"/>
      <c r="N78" s="15"/>
      <c r="O78" s="15"/>
      <c r="P78" s="203" t="str">
        <f>IFERROR(DATE(YEAR(Table35[[#This Row],[Lapsed Date]]),MONTH(Table35[[#This Row],[Lapsed Date]]),DAY(Table35[[#This Row],[Lapsed Date]])+20),"")</f>
        <v/>
      </c>
      <c r="Q78" s="203" t="str">
        <f>IFERROR(EDATE(Table35[[#This Row],[Lapsed Date]],12),"")</f>
        <v/>
      </c>
      <c r="R78" s="203" t="str">
        <f>IFERROR(EDATE(Table35[[#This Row],[Lapsed Date]],24),"")</f>
        <v/>
      </c>
      <c r="S78" s="205">
        <f ca="1">DATEDIF(Table35[[#This Row],[Paid to Date]],TODAY(), "M")</f>
        <v>1516</v>
      </c>
      <c r="T78" s="203">
        <f ca="1">Table35[[#This Row],[Number of Monthly premiums missing]]*(Table35[[#This Row],[Lapsed API]]/12)</f>
        <v>0</v>
      </c>
      <c r="U78" s="204">
        <f>(Table35[[#This Row],[Lapsed API]]/12)*3</f>
        <v>0</v>
      </c>
      <c r="V78" s="15"/>
      <c r="W78" s="19"/>
    </row>
    <row r="79" spans="1:23" ht="20.100000000000001" customHeight="1" x14ac:dyDescent="0.3">
      <c r="A79" s="20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03" t="str">
        <f>IF(ISBLANK(Table35[[#This Row],[Paid to Date]]),"",DATE(YEAR(Table35[[#This Row],[Paid to Date]]),MONTH(Table35[[#This Row],[Paid to Date]]),DAY(Table35[[#This Row],[Paid to Date]])+90))</f>
        <v/>
      </c>
      <c r="M79" s="15"/>
      <c r="N79" s="15"/>
      <c r="O79" s="15"/>
      <c r="P79" s="203" t="str">
        <f>IFERROR(DATE(YEAR(Table35[[#This Row],[Lapsed Date]]),MONTH(Table35[[#This Row],[Lapsed Date]]),DAY(Table35[[#This Row],[Lapsed Date]])+20),"")</f>
        <v/>
      </c>
      <c r="Q79" s="203" t="str">
        <f>IFERROR(EDATE(Table35[[#This Row],[Lapsed Date]],12),"")</f>
        <v/>
      </c>
      <c r="R79" s="203" t="str">
        <f>IFERROR(EDATE(Table35[[#This Row],[Lapsed Date]],24),"")</f>
        <v/>
      </c>
      <c r="S79" s="205">
        <f ca="1">DATEDIF(Table35[[#This Row],[Paid to Date]],TODAY(), "M")</f>
        <v>1516</v>
      </c>
      <c r="T79" s="203">
        <f ca="1">Table35[[#This Row],[Number of Monthly premiums missing]]*(Table35[[#This Row],[Lapsed API]]/12)</f>
        <v>0</v>
      </c>
      <c r="U79" s="204">
        <f>(Table35[[#This Row],[Lapsed API]]/12)*3</f>
        <v>0</v>
      </c>
      <c r="V79" s="15"/>
      <c r="W79" s="19"/>
    </row>
    <row r="80" spans="1:23" ht="20.100000000000001" customHeight="1" x14ac:dyDescent="0.3">
      <c r="A80" s="20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03" t="str">
        <f>IF(ISBLANK(Table35[[#This Row],[Paid to Date]]),"",DATE(YEAR(Table35[[#This Row],[Paid to Date]]),MONTH(Table35[[#This Row],[Paid to Date]]),DAY(Table35[[#This Row],[Paid to Date]])+90))</f>
        <v/>
      </c>
      <c r="M80" s="15"/>
      <c r="N80" s="15"/>
      <c r="O80" s="15"/>
      <c r="P80" s="203" t="str">
        <f>IFERROR(DATE(YEAR(Table35[[#This Row],[Lapsed Date]]),MONTH(Table35[[#This Row],[Lapsed Date]]),DAY(Table35[[#This Row],[Lapsed Date]])+20),"")</f>
        <v/>
      </c>
      <c r="Q80" s="203" t="str">
        <f>IFERROR(EDATE(Table35[[#This Row],[Lapsed Date]],12),"")</f>
        <v/>
      </c>
      <c r="R80" s="203" t="str">
        <f>IFERROR(EDATE(Table35[[#This Row],[Lapsed Date]],24),"")</f>
        <v/>
      </c>
      <c r="S80" s="205">
        <f ca="1">DATEDIF(Table35[[#This Row],[Paid to Date]],TODAY(), "M")</f>
        <v>1516</v>
      </c>
      <c r="T80" s="203">
        <f ca="1">Table35[[#This Row],[Number of Monthly premiums missing]]*(Table35[[#This Row],[Lapsed API]]/12)</f>
        <v>0</v>
      </c>
      <c r="U80" s="204">
        <f>(Table35[[#This Row],[Lapsed API]]/12)*3</f>
        <v>0</v>
      </c>
      <c r="V80" s="15"/>
      <c r="W80" s="19"/>
    </row>
    <row r="81" spans="1:23" ht="20.100000000000001" customHeight="1" x14ac:dyDescent="0.3">
      <c r="A81" s="20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203" t="str">
        <f>IF(ISBLANK(Table35[[#This Row],[Paid to Date]]),"",DATE(YEAR(Table35[[#This Row],[Paid to Date]]),MONTH(Table35[[#This Row],[Paid to Date]]),DAY(Table35[[#This Row],[Paid to Date]])+90))</f>
        <v/>
      </c>
      <c r="M81" s="15"/>
      <c r="N81" s="15"/>
      <c r="O81" s="15"/>
      <c r="P81" s="203" t="str">
        <f>IFERROR(DATE(YEAR(Table35[[#This Row],[Lapsed Date]]),MONTH(Table35[[#This Row],[Lapsed Date]]),DAY(Table35[[#This Row],[Lapsed Date]])+20),"")</f>
        <v/>
      </c>
      <c r="Q81" s="203" t="str">
        <f>IFERROR(EDATE(Table35[[#This Row],[Lapsed Date]],12),"")</f>
        <v/>
      </c>
      <c r="R81" s="203" t="str">
        <f>IFERROR(EDATE(Table35[[#This Row],[Lapsed Date]],24),"")</f>
        <v/>
      </c>
      <c r="S81" s="205">
        <f ca="1">DATEDIF(Table35[[#This Row],[Paid to Date]],TODAY(), "M")</f>
        <v>1516</v>
      </c>
      <c r="T81" s="203">
        <f ca="1">Table35[[#This Row],[Number of Monthly premiums missing]]*(Table35[[#This Row],[Lapsed API]]/12)</f>
        <v>0</v>
      </c>
      <c r="U81" s="204">
        <f>(Table35[[#This Row],[Lapsed API]]/12)*3</f>
        <v>0</v>
      </c>
      <c r="V81" s="15"/>
      <c r="W81" s="19"/>
    </row>
    <row r="82" spans="1:23" ht="20.100000000000001" customHeight="1" x14ac:dyDescent="0.3">
      <c r="A82" s="20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203" t="str">
        <f>IF(ISBLANK(Table35[[#This Row],[Paid to Date]]),"",DATE(YEAR(Table35[[#This Row],[Paid to Date]]),MONTH(Table35[[#This Row],[Paid to Date]]),DAY(Table35[[#This Row],[Paid to Date]])+90))</f>
        <v/>
      </c>
      <c r="M82" s="15"/>
      <c r="N82" s="15"/>
      <c r="O82" s="15"/>
      <c r="P82" s="203" t="str">
        <f>IFERROR(DATE(YEAR(Table35[[#This Row],[Lapsed Date]]),MONTH(Table35[[#This Row],[Lapsed Date]]),DAY(Table35[[#This Row],[Lapsed Date]])+20),"")</f>
        <v/>
      </c>
      <c r="Q82" s="203" t="str">
        <f>IFERROR(EDATE(Table35[[#This Row],[Lapsed Date]],12),"")</f>
        <v/>
      </c>
      <c r="R82" s="203" t="str">
        <f>IFERROR(EDATE(Table35[[#This Row],[Lapsed Date]],24),"")</f>
        <v/>
      </c>
      <c r="S82" s="205">
        <f ca="1">DATEDIF(Table35[[#This Row],[Paid to Date]],TODAY(), "M")</f>
        <v>1516</v>
      </c>
      <c r="T82" s="203">
        <f ca="1">Table35[[#This Row],[Number of Monthly premiums missing]]*(Table35[[#This Row],[Lapsed API]]/12)</f>
        <v>0</v>
      </c>
      <c r="U82" s="204">
        <f>(Table35[[#This Row],[Lapsed API]]/12)*3</f>
        <v>0</v>
      </c>
      <c r="V82" s="15"/>
      <c r="W82" s="19"/>
    </row>
    <row r="83" spans="1:23" ht="20.100000000000001" customHeight="1" x14ac:dyDescent="0.3">
      <c r="A83" s="20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203" t="str">
        <f>IF(ISBLANK(Table35[[#This Row],[Paid to Date]]),"",DATE(YEAR(Table35[[#This Row],[Paid to Date]]),MONTH(Table35[[#This Row],[Paid to Date]]),DAY(Table35[[#This Row],[Paid to Date]])+90))</f>
        <v/>
      </c>
      <c r="M83" s="15"/>
      <c r="N83" s="15"/>
      <c r="O83" s="15"/>
      <c r="P83" s="203" t="str">
        <f>IFERROR(DATE(YEAR(Table35[[#This Row],[Lapsed Date]]),MONTH(Table35[[#This Row],[Lapsed Date]]),DAY(Table35[[#This Row],[Lapsed Date]])+20),"")</f>
        <v/>
      </c>
      <c r="Q83" s="203" t="str">
        <f>IFERROR(EDATE(Table35[[#This Row],[Lapsed Date]],12),"")</f>
        <v/>
      </c>
      <c r="R83" s="203" t="str">
        <f>IFERROR(EDATE(Table35[[#This Row],[Lapsed Date]],24),"")</f>
        <v/>
      </c>
      <c r="S83" s="205">
        <f ca="1">DATEDIF(Table35[[#This Row],[Paid to Date]],TODAY(), "M")</f>
        <v>1516</v>
      </c>
      <c r="T83" s="203">
        <f ca="1">Table35[[#This Row],[Number of Monthly premiums missing]]*(Table35[[#This Row],[Lapsed API]]/12)</f>
        <v>0</v>
      </c>
      <c r="U83" s="204">
        <f>(Table35[[#This Row],[Lapsed API]]/12)*3</f>
        <v>0</v>
      </c>
      <c r="V83" s="15"/>
      <c r="W83" s="19"/>
    </row>
    <row r="84" spans="1:23" ht="20.100000000000001" customHeight="1" x14ac:dyDescent="0.3">
      <c r="A84" s="20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03" t="str">
        <f>IF(ISBLANK(Table35[[#This Row],[Paid to Date]]),"",DATE(YEAR(Table35[[#This Row],[Paid to Date]]),MONTH(Table35[[#This Row],[Paid to Date]]),DAY(Table35[[#This Row],[Paid to Date]])+90))</f>
        <v/>
      </c>
      <c r="M84" s="15"/>
      <c r="N84" s="15"/>
      <c r="O84" s="15"/>
      <c r="P84" s="203" t="str">
        <f>IFERROR(DATE(YEAR(Table35[[#This Row],[Lapsed Date]]),MONTH(Table35[[#This Row],[Lapsed Date]]),DAY(Table35[[#This Row],[Lapsed Date]])+20),"")</f>
        <v/>
      </c>
      <c r="Q84" s="203" t="str">
        <f>IFERROR(EDATE(Table35[[#This Row],[Lapsed Date]],12),"")</f>
        <v/>
      </c>
      <c r="R84" s="203" t="str">
        <f>IFERROR(EDATE(Table35[[#This Row],[Lapsed Date]],24),"")</f>
        <v/>
      </c>
      <c r="S84" s="205">
        <f ca="1">DATEDIF(Table35[[#This Row],[Paid to Date]],TODAY(), "M")</f>
        <v>1516</v>
      </c>
      <c r="T84" s="203">
        <f ca="1">Table35[[#This Row],[Number of Monthly premiums missing]]*(Table35[[#This Row],[Lapsed API]]/12)</f>
        <v>0</v>
      </c>
      <c r="U84" s="204">
        <f>(Table35[[#This Row],[Lapsed API]]/12)*3</f>
        <v>0</v>
      </c>
      <c r="V84" s="15"/>
      <c r="W84" s="19"/>
    </row>
    <row r="85" spans="1:23" ht="20.100000000000001" customHeight="1" x14ac:dyDescent="0.3">
      <c r="A85" s="20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203" t="str">
        <f>IF(ISBLANK(Table35[[#This Row],[Paid to Date]]),"",DATE(YEAR(Table35[[#This Row],[Paid to Date]]),MONTH(Table35[[#This Row],[Paid to Date]]),DAY(Table35[[#This Row],[Paid to Date]])+90))</f>
        <v/>
      </c>
      <c r="M85" s="15"/>
      <c r="N85" s="15"/>
      <c r="O85" s="15"/>
      <c r="P85" s="203" t="str">
        <f>IFERROR(DATE(YEAR(Table35[[#This Row],[Lapsed Date]]),MONTH(Table35[[#This Row],[Lapsed Date]]),DAY(Table35[[#This Row],[Lapsed Date]])+20),"")</f>
        <v/>
      </c>
      <c r="Q85" s="203" t="str">
        <f>IFERROR(EDATE(Table35[[#This Row],[Lapsed Date]],12),"")</f>
        <v/>
      </c>
      <c r="R85" s="203" t="str">
        <f>IFERROR(EDATE(Table35[[#This Row],[Lapsed Date]],24),"")</f>
        <v/>
      </c>
      <c r="S85" s="205">
        <f ca="1">DATEDIF(Table35[[#This Row],[Paid to Date]],TODAY(), "M")</f>
        <v>1516</v>
      </c>
      <c r="T85" s="203">
        <f ca="1">Table35[[#This Row],[Number of Monthly premiums missing]]*(Table35[[#This Row],[Lapsed API]]/12)</f>
        <v>0</v>
      </c>
      <c r="U85" s="204">
        <f>(Table35[[#This Row],[Lapsed API]]/12)*3</f>
        <v>0</v>
      </c>
      <c r="V85" s="15"/>
      <c r="W85" s="19"/>
    </row>
    <row r="86" spans="1:23" ht="20.100000000000001" customHeight="1" x14ac:dyDescent="0.3">
      <c r="A86" s="20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03" t="str">
        <f>IF(ISBLANK(Table35[[#This Row],[Paid to Date]]),"",DATE(YEAR(Table35[[#This Row],[Paid to Date]]),MONTH(Table35[[#This Row],[Paid to Date]]),DAY(Table35[[#This Row],[Paid to Date]])+90))</f>
        <v/>
      </c>
      <c r="M86" s="15"/>
      <c r="N86" s="15"/>
      <c r="O86" s="15"/>
      <c r="P86" s="203" t="str">
        <f>IFERROR(DATE(YEAR(Table35[[#This Row],[Lapsed Date]]),MONTH(Table35[[#This Row],[Lapsed Date]]),DAY(Table35[[#This Row],[Lapsed Date]])+20),"")</f>
        <v/>
      </c>
      <c r="Q86" s="203" t="str">
        <f>IFERROR(EDATE(Table35[[#This Row],[Lapsed Date]],12),"")</f>
        <v/>
      </c>
      <c r="R86" s="203" t="str">
        <f>IFERROR(EDATE(Table35[[#This Row],[Lapsed Date]],24),"")</f>
        <v/>
      </c>
      <c r="S86" s="205">
        <f ca="1">DATEDIF(Table35[[#This Row],[Paid to Date]],TODAY(), "M")</f>
        <v>1516</v>
      </c>
      <c r="T86" s="203">
        <f ca="1">Table35[[#This Row],[Number of Monthly premiums missing]]*(Table35[[#This Row],[Lapsed API]]/12)</f>
        <v>0</v>
      </c>
      <c r="U86" s="204">
        <f>(Table35[[#This Row],[Lapsed API]]/12)*3</f>
        <v>0</v>
      </c>
      <c r="V86" s="15"/>
      <c r="W86" s="19"/>
    </row>
    <row r="87" spans="1:23" ht="20.100000000000001" customHeight="1" x14ac:dyDescent="0.3">
      <c r="A87" s="20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203" t="str">
        <f>IF(ISBLANK(Table35[[#This Row],[Paid to Date]]),"",DATE(YEAR(Table35[[#This Row],[Paid to Date]]),MONTH(Table35[[#This Row],[Paid to Date]]),DAY(Table35[[#This Row],[Paid to Date]])+90))</f>
        <v/>
      </c>
      <c r="M87" s="15"/>
      <c r="N87" s="15"/>
      <c r="O87" s="15"/>
      <c r="P87" s="203" t="str">
        <f>IFERROR(DATE(YEAR(Table35[[#This Row],[Lapsed Date]]),MONTH(Table35[[#This Row],[Lapsed Date]]),DAY(Table35[[#This Row],[Lapsed Date]])+20),"")</f>
        <v/>
      </c>
      <c r="Q87" s="203" t="str">
        <f>IFERROR(EDATE(Table35[[#This Row],[Lapsed Date]],12),"")</f>
        <v/>
      </c>
      <c r="R87" s="203" t="str">
        <f>IFERROR(EDATE(Table35[[#This Row],[Lapsed Date]],24),"")</f>
        <v/>
      </c>
      <c r="S87" s="205">
        <f ca="1">DATEDIF(Table35[[#This Row],[Paid to Date]],TODAY(), "M")</f>
        <v>1516</v>
      </c>
      <c r="T87" s="203">
        <f ca="1">Table35[[#This Row],[Number of Monthly premiums missing]]*(Table35[[#This Row],[Lapsed API]]/12)</f>
        <v>0</v>
      </c>
      <c r="U87" s="204">
        <f>(Table35[[#This Row],[Lapsed API]]/12)*3</f>
        <v>0</v>
      </c>
      <c r="V87" s="15"/>
      <c r="W87" s="19"/>
    </row>
    <row r="88" spans="1:23" ht="20.100000000000001" customHeight="1" x14ac:dyDescent="0.3">
      <c r="A88" s="20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203" t="str">
        <f>IF(ISBLANK(Table35[[#This Row],[Paid to Date]]),"",DATE(YEAR(Table35[[#This Row],[Paid to Date]]),MONTH(Table35[[#This Row],[Paid to Date]]),DAY(Table35[[#This Row],[Paid to Date]])+90))</f>
        <v/>
      </c>
      <c r="M88" s="15"/>
      <c r="N88" s="15"/>
      <c r="O88" s="15"/>
      <c r="P88" s="203" t="str">
        <f>IFERROR(DATE(YEAR(Table35[[#This Row],[Lapsed Date]]),MONTH(Table35[[#This Row],[Lapsed Date]]),DAY(Table35[[#This Row],[Lapsed Date]])+20),"")</f>
        <v/>
      </c>
      <c r="Q88" s="203" t="str">
        <f>IFERROR(EDATE(Table35[[#This Row],[Lapsed Date]],12),"")</f>
        <v/>
      </c>
      <c r="R88" s="203" t="str">
        <f>IFERROR(EDATE(Table35[[#This Row],[Lapsed Date]],24),"")</f>
        <v/>
      </c>
      <c r="S88" s="205">
        <f ca="1">DATEDIF(Table35[[#This Row],[Paid to Date]],TODAY(), "M")</f>
        <v>1516</v>
      </c>
      <c r="T88" s="203">
        <f ca="1">Table35[[#This Row],[Number of Monthly premiums missing]]*(Table35[[#This Row],[Lapsed API]]/12)</f>
        <v>0</v>
      </c>
      <c r="U88" s="204">
        <f>(Table35[[#This Row],[Lapsed API]]/12)*3</f>
        <v>0</v>
      </c>
      <c r="V88" s="15"/>
      <c r="W88" s="19"/>
    </row>
    <row r="89" spans="1:23" ht="20.100000000000001" customHeight="1" x14ac:dyDescent="0.3">
      <c r="A89" s="2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03" t="str">
        <f>IF(ISBLANK(Table35[[#This Row],[Paid to Date]]),"",DATE(YEAR(Table35[[#This Row],[Paid to Date]]),MONTH(Table35[[#This Row],[Paid to Date]]),DAY(Table35[[#This Row],[Paid to Date]])+90))</f>
        <v/>
      </c>
      <c r="M89" s="15"/>
      <c r="N89" s="15"/>
      <c r="O89" s="15"/>
      <c r="P89" s="203" t="str">
        <f>IFERROR(DATE(YEAR(Table35[[#This Row],[Lapsed Date]]),MONTH(Table35[[#This Row],[Lapsed Date]]),DAY(Table35[[#This Row],[Lapsed Date]])+20),"")</f>
        <v/>
      </c>
      <c r="Q89" s="203" t="str">
        <f>IFERROR(EDATE(Table35[[#This Row],[Lapsed Date]],12),"")</f>
        <v/>
      </c>
      <c r="R89" s="203" t="str">
        <f>IFERROR(EDATE(Table35[[#This Row],[Lapsed Date]],24),"")</f>
        <v/>
      </c>
      <c r="S89" s="205">
        <f ca="1">DATEDIF(Table35[[#This Row],[Paid to Date]],TODAY(), "M")</f>
        <v>1516</v>
      </c>
      <c r="T89" s="203">
        <f ca="1">Table35[[#This Row],[Number of Monthly premiums missing]]*(Table35[[#This Row],[Lapsed API]]/12)</f>
        <v>0</v>
      </c>
      <c r="U89" s="204">
        <f>(Table35[[#This Row],[Lapsed API]]/12)*3</f>
        <v>0</v>
      </c>
      <c r="V89" s="15"/>
      <c r="W89" s="19"/>
    </row>
    <row r="90" spans="1:23" ht="20.100000000000001" customHeight="1" x14ac:dyDescent="0.3">
      <c r="A90" s="20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03" t="str">
        <f>IF(ISBLANK(Table35[[#This Row],[Paid to Date]]),"",DATE(YEAR(Table35[[#This Row],[Paid to Date]]),MONTH(Table35[[#This Row],[Paid to Date]]),DAY(Table35[[#This Row],[Paid to Date]])+90))</f>
        <v/>
      </c>
      <c r="M90" s="15"/>
      <c r="N90" s="15"/>
      <c r="O90" s="15"/>
      <c r="P90" s="203" t="str">
        <f>IFERROR(DATE(YEAR(Table35[[#This Row],[Lapsed Date]]),MONTH(Table35[[#This Row],[Lapsed Date]]),DAY(Table35[[#This Row],[Lapsed Date]])+20),"")</f>
        <v/>
      </c>
      <c r="Q90" s="203" t="str">
        <f>IFERROR(EDATE(Table35[[#This Row],[Lapsed Date]],12),"")</f>
        <v/>
      </c>
      <c r="R90" s="203" t="str">
        <f>IFERROR(EDATE(Table35[[#This Row],[Lapsed Date]],24),"")</f>
        <v/>
      </c>
      <c r="S90" s="205">
        <f ca="1">DATEDIF(Table35[[#This Row],[Paid to Date]],TODAY(), "M")</f>
        <v>1516</v>
      </c>
      <c r="T90" s="203">
        <f ca="1">Table35[[#This Row],[Number of Monthly premiums missing]]*(Table35[[#This Row],[Lapsed API]]/12)</f>
        <v>0</v>
      </c>
      <c r="U90" s="204">
        <f>(Table35[[#This Row],[Lapsed API]]/12)*3</f>
        <v>0</v>
      </c>
      <c r="V90" s="15"/>
      <c r="W90" s="19"/>
    </row>
    <row r="91" spans="1:23" ht="20.100000000000001" customHeight="1" x14ac:dyDescent="0.3">
      <c r="A91" s="20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03" t="str">
        <f>IF(ISBLANK(Table35[[#This Row],[Paid to Date]]),"",DATE(YEAR(Table35[[#This Row],[Paid to Date]]),MONTH(Table35[[#This Row],[Paid to Date]]),DAY(Table35[[#This Row],[Paid to Date]])+90))</f>
        <v/>
      </c>
      <c r="M91" s="15"/>
      <c r="N91" s="15"/>
      <c r="O91" s="15"/>
      <c r="P91" s="203" t="str">
        <f>IFERROR(DATE(YEAR(Table35[[#This Row],[Lapsed Date]]),MONTH(Table35[[#This Row],[Lapsed Date]]),DAY(Table35[[#This Row],[Lapsed Date]])+20),"")</f>
        <v/>
      </c>
      <c r="Q91" s="203" t="str">
        <f>IFERROR(EDATE(Table35[[#This Row],[Lapsed Date]],12),"")</f>
        <v/>
      </c>
      <c r="R91" s="203" t="str">
        <f>IFERROR(EDATE(Table35[[#This Row],[Lapsed Date]],24),"")</f>
        <v/>
      </c>
      <c r="S91" s="205">
        <f ca="1">DATEDIF(Table35[[#This Row],[Paid to Date]],TODAY(), "M")</f>
        <v>1516</v>
      </c>
      <c r="T91" s="203">
        <f ca="1">Table35[[#This Row],[Number of Monthly premiums missing]]*(Table35[[#This Row],[Lapsed API]]/12)</f>
        <v>0</v>
      </c>
      <c r="U91" s="204">
        <f>(Table35[[#This Row],[Lapsed API]]/12)*3</f>
        <v>0</v>
      </c>
      <c r="V91" s="15"/>
      <c r="W91" s="19"/>
    </row>
    <row r="92" spans="1:23" ht="20.100000000000001" customHeight="1" x14ac:dyDescent="0.3">
      <c r="A92" s="20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03" t="str">
        <f>IF(ISBLANK(Table35[[#This Row],[Paid to Date]]),"",DATE(YEAR(Table35[[#This Row],[Paid to Date]]),MONTH(Table35[[#This Row],[Paid to Date]]),DAY(Table35[[#This Row],[Paid to Date]])+90))</f>
        <v/>
      </c>
      <c r="M92" s="15"/>
      <c r="N92" s="15"/>
      <c r="O92" s="15"/>
      <c r="P92" s="203" t="str">
        <f>IFERROR(DATE(YEAR(Table35[[#This Row],[Lapsed Date]]),MONTH(Table35[[#This Row],[Lapsed Date]]),DAY(Table35[[#This Row],[Lapsed Date]])+20),"")</f>
        <v/>
      </c>
      <c r="Q92" s="203" t="str">
        <f>IFERROR(EDATE(Table35[[#This Row],[Lapsed Date]],12),"")</f>
        <v/>
      </c>
      <c r="R92" s="203" t="str">
        <f>IFERROR(EDATE(Table35[[#This Row],[Lapsed Date]],24),"")</f>
        <v/>
      </c>
      <c r="S92" s="205">
        <f ca="1">DATEDIF(Table35[[#This Row],[Paid to Date]],TODAY(), "M")</f>
        <v>1516</v>
      </c>
      <c r="T92" s="203">
        <f ca="1">Table35[[#This Row],[Number of Monthly premiums missing]]*(Table35[[#This Row],[Lapsed API]]/12)</f>
        <v>0</v>
      </c>
      <c r="U92" s="204">
        <f>(Table35[[#This Row],[Lapsed API]]/12)*3</f>
        <v>0</v>
      </c>
      <c r="V92" s="15"/>
      <c r="W92" s="19"/>
    </row>
    <row r="93" spans="1:23" ht="20.100000000000001" customHeight="1" x14ac:dyDescent="0.3">
      <c r="A93" s="20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03" t="str">
        <f>IF(ISBLANK(Table35[[#This Row],[Paid to Date]]),"",DATE(YEAR(Table35[[#This Row],[Paid to Date]]),MONTH(Table35[[#This Row],[Paid to Date]]),DAY(Table35[[#This Row],[Paid to Date]])+90))</f>
        <v/>
      </c>
      <c r="M93" s="15"/>
      <c r="N93" s="15"/>
      <c r="O93" s="15"/>
      <c r="P93" s="203" t="str">
        <f>IFERROR(DATE(YEAR(Table35[[#This Row],[Lapsed Date]]),MONTH(Table35[[#This Row],[Lapsed Date]]),DAY(Table35[[#This Row],[Lapsed Date]])+20),"")</f>
        <v/>
      </c>
      <c r="Q93" s="203" t="str">
        <f>IFERROR(EDATE(Table35[[#This Row],[Lapsed Date]],12),"")</f>
        <v/>
      </c>
      <c r="R93" s="203" t="str">
        <f>IFERROR(EDATE(Table35[[#This Row],[Lapsed Date]],24),"")</f>
        <v/>
      </c>
      <c r="S93" s="205">
        <f ca="1">DATEDIF(Table35[[#This Row],[Paid to Date]],TODAY(), "M")</f>
        <v>1516</v>
      </c>
      <c r="T93" s="203">
        <f ca="1">Table35[[#This Row],[Number of Monthly premiums missing]]*(Table35[[#This Row],[Lapsed API]]/12)</f>
        <v>0</v>
      </c>
      <c r="U93" s="204">
        <f>(Table35[[#This Row],[Lapsed API]]/12)*3</f>
        <v>0</v>
      </c>
      <c r="V93" s="15"/>
      <c r="W93" s="19"/>
    </row>
    <row r="94" spans="1:23" ht="20.100000000000001" customHeight="1" x14ac:dyDescent="0.3">
      <c r="A94" s="20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03" t="str">
        <f>IF(ISBLANK(Table35[[#This Row],[Paid to Date]]),"",DATE(YEAR(Table35[[#This Row],[Paid to Date]]),MONTH(Table35[[#This Row],[Paid to Date]]),DAY(Table35[[#This Row],[Paid to Date]])+90))</f>
        <v/>
      </c>
      <c r="M94" s="15"/>
      <c r="N94" s="15"/>
      <c r="O94" s="15"/>
      <c r="P94" s="203" t="str">
        <f>IFERROR(DATE(YEAR(Table35[[#This Row],[Lapsed Date]]),MONTH(Table35[[#This Row],[Lapsed Date]]),DAY(Table35[[#This Row],[Lapsed Date]])+20),"")</f>
        <v/>
      </c>
      <c r="Q94" s="203" t="str">
        <f>IFERROR(EDATE(Table35[[#This Row],[Lapsed Date]],12),"")</f>
        <v/>
      </c>
      <c r="R94" s="203" t="str">
        <f>IFERROR(EDATE(Table35[[#This Row],[Lapsed Date]],24),"")</f>
        <v/>
      </c>
      <c r="S94" s="205">
        <f ca="1">DATEDIF(Table35[[#This Row],[Paid to Date]],TODAY(), "M")</f>
        <v>1516</v>
      </c>
      <c r="T94" s="203">
        <f ca="1">Table35[[#This Row],[Number of Monthly premiums missing]]*(Table35[[#This Row],[Lapsed API]]/12)</f>
        <v>0</v>
      </c>
      <c r="U94" s="204">
        <f>(Table35[[#This Row],[Lapsed API]]/12)*3</f>
        <v>0</v>
      </c>
      <c r="V94" s="15"/>
      <c r="W94" s="19"/>
    </row>
    <row r="95" spans="1:23" ht="20.100000000000001" customHeight="1" x14ac:dyDescent="0.3">
      <c r="A95" s="20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203" t="str">
        <f>IF(ISBLANK(Table35[[#This Row],[Paid to Date]]),"",DATE(YEAR(Table35[[#This Row],[Paid to Date]]),MONTH(Table35[[#This Row],[Paid to Date]]),DAY(Table35[[#This Row],[Paid to Date]])+90))</f>
        <v/>
      </c>
      <c r="M95" s="15"/>
      <c r="N95" s="15"/>
      <c r="O95" s="15"/>
      <c r="P95" s="203" t="str">
        <f>IFERROR(DATE(YEAR(Table35[[#This Row],[Lapsed Date]]),MONTH(Table35[[#This Row],[Lapsed Date]]),DAY(Table35[[#This Row],[Lapsed Date]])+20),"")</f>
        <v/>
      </c>
      <c r="Q95" s="203" t="str">
        <f>IFERROR(EDATE(Table35[[#This Row],[Lapsed Date]],12),"")</f>
        <v/>
      </c>
      <c r="R95" s="203" t="str">
        <f>IFERROR(EDATE(Table35[[#This Row],[Lapsed Date]],24),"")</f>
        <v/>
      </c>
      <c r="S95" s="205">
        <f ca="1">DATEDIF(Table35[[#This Row],[Paid to Date]],TODAY(), "M")</f>
        <v>1516</v>
      </c>
      <c r="T95" s="203">
        <f ca="1">Table35[[#This Row],[Number of Monthly premiums missing]]*(Table35[[#This Row],[Lapsed API]]/12)</f>
        <v>0</v>
      </c>
      <c r="U95" s="204">
        <f>(Table35[[#This Row],[Lapsed API]]/12)*3</f>
        <v>0</v>
      </c>
      <c r="V95" s="15"/>
      <c r="W95" s="19"/>
    </row>
    <row r="96" spans="1:23" ht="20.100000000000001" customHeight="1" x14ac:dyDescent="0.3">
      <c r="A96" s="20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203" t="str">
        <f>IF(ISBLANK(Table35[[#This Row],[Paid to Date]]),"",DATE(YEAR(Table35[[#This Row],[Paid to Date]]),MONTH(Table35[[#This Row],[Paid to Date]]),DAY(Table35[[#This Row],[Paid to Date]])+90))</f>
        <v/>
      </c>
      <c r="M96" s="15"/>
      <c r="N96" s="15"/>
      <c r="O96" s="15"/>
      <c r="P96" s="203" t="str">
        <f>IFERROR(DATE(YEAR(Table35[[#This Row],[Lapsed Date]]),MONTH(Table35[[#This Row],[Lapsed Date]]),DAY(Table35[[#This Row],[Lapsed Date]])+20),"")</f>
        <v/>
      </c>
      <c r="Q96" s="203" t="str">
        <f>IFERROR(EDATE(Table35[[#This Row],[Lapsed Date]],12),"")</f>
        <v/>
      </c>
      <c r="R96" s="203" t="str">
        <f>IFERROR(EDATE(Table35[[#This Row],[Lapsed Date]],24),"")</f>
        <v/>
      </c>
      <c r="S96" s="205">
        <f ca="1">DATEDIF(Table35[[#This Row],[Paid to Date]],TODAY(), "M")</f>
        <v>1516</v>
      </c>
      <c r="T96" s="203">
        <f ca="1">Table35[[#This Row],[Number of Monthly premiums missing]]*(Table35[[#This Row],[Lapsed API]]/12)</f>
        <v>0</v>
      </c>
      <c r="U96" s="204">
        <f>(Table35[[#This Row],[Lapsed API]]/12)*3</f>
        <v>0</v>
      </c>
      <c r="V96" s="15"/>
      <c r="W96" s="19"/>
    </row>
    <row r="97" spans="1:23" ht="20.100000000000001" customHeight="1" x14ac:dyDescent="0.3">
      <c r="A97" s="20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203" t="str">
        <f>IF(ISBLANK(Table35[[#This Row],[Paid to Date]]),"",DATE(YEAR(Table35[[#This Row],[Paid to Date]]),MONTH(Table35[[#This Row],[Paid to Date]]),DAY(Table35[[#This Row],[Paid to Date]])+90))</f>
        <v/>
      </c>
      <c r="M97" s="15"/>
      <c r="N97" s="15"/>
      <c r="O97" s="15"/>
      <c r="P97" s="203" t="str">
        <f>IFERROR(DATE(YEAR(Table35[[#This Row],[Lapsed Date]]),MONTH(Table35[[#This Row],[Lapsed Date]]),DAY(Table35[[#This Row],[Lapsed Date]])+20),"")</f>
        <v/>
      </c>
      <c r="Q97" s="203" t="str">
        <f>IFERROR(EDATE(Table35[[#This Row],[Lapsed Date]],12),"")</f>
        <v/>
      </c>
      <c r="R97" s="203" t="str">
        <f>IFERROR(EDATE(Table35[[#This Row],[Lapsed Date]],24),"")</f>
        <v/>
      </c>
      <c r="S97" s="205">
        <f ca="1">DATEDIF(Table35[[#This Row],[Paid to Date]],TODAY(), "M")</f>
        <v>1516</v>
      </c>
      <c r="T97" s="203">
        <f ca="1">Table35[[#This Row],[Number of Monthly premiums missing]]*(Table35[[#This Row],[Lapsed API]]/12)</f>
        <v>0</v>
      </c>
      <c r="U97" s="204">
        <f>(Table35[[#This Row],[Lapsed API]]/12)*3</f>
        <v>0</v>
      </c>
      <c r="V97" s="15"/>
      <c r="W97" s="19"/>
    </row>
    <row r="98" spans="1:23" ht="20.100000000000001" customHeight="1" x14ac:dyDescent="0.3">
      <c r="A98" s="20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03" t="str">
        <f>IF(ISBLANK(Table35[[#This Row],[Paid to Date]]),"",DATE(YEAR(Table35[[#This Row],[Paid to Date]]),MONTH(Table35[[#This Row],[Paid to Date]]),DAY(Table35[[#This Row],[Paid to Date]])+90))</f>
        <v/>
      </c>
      <c r="M98" s="15"/>
      <c r="N98" s="15"/>
      <c r="O98" s="15"/>
      <c r="P98" s="203" t="str">
        <f>IFERROR(DATE(YEAR(Table35[[#This Row],[Lapsed Date]]),MONTH(Table35[[#This Row],[Lapsed Date]]),DAY(Table35[[#This Row],[Lapsed Date]])+20),"")</f>
        <v/>
      </c>
      <c r="Q98" s="203" t="str">
        <f>IFERROR(EDATE(Table35[[#This Row],[Lapsed Date]],12),"")</f>
        <v/>
      </c>
      <c r="R98" s="203" t="str">
        <f>IFERROR(EDATE(Table35[[#This Row],[Lapsed Date]],24),"")</f>
        <v/>
      </c>
      <c r="S98" s="205">
        <f ca="1">DATEDIF(Table35[[#This Row],[Paid to Date]],TODAY(), "M")</f>
        <v>1516</v>
      </c>
      <c r="T98" s="203">
        <f ca="1">Table35[[#This Row],[Number of Monthly premiums missing]]*(Table35[[#This Row],[Lapsed API]]/12)</f>
        <v>0</v>
      </c>
      <c r="U98" s="204">
        <f>(Table35[[#This Row],[Lapsed API]]/12)*3</f>
        <v>0</v>
      </c>
      <c r="V98" s="15"/>
      <c r="W98" s="19"/>
    </row>
    <row r="99" spans="1:23" ht="20.100000000000001" customHeight="1" x14ac:dyDescent="0.3">
      <c r="A99" s="20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203" t="str">
        <f>IF(ISBLANK(Table35[[#This Row],[Paid to Date]]),"",DATE(YEAR(Table35[[#This Row],[Paid to Date]]),MONTH(Table35[[#This Row],[Paid to Date]]),DAY(Table35[[#This Row],[Paid to Date]])+90))</f>
        <v/>
      </c>
      <c r="M99" s="15"/>
      <c r="N99" s="15"/>
      <c r="O99" s="15"/>
      <c r="P99" s="203" t="str">
        <f>IFERROR(DATE(YEAR(Table35[[#This Row],[Lapsed Date]]),MONTH(Table35[[#This Row],[Lapsed Date]]),DAY(Table35[[#This Row],[Lapsed Date]])+20),"")</f>
        <v/>
      </c>
      <c r="Q99" s="203" t="str">
        <f>IFERROR(EDATE(Table35[[#This Row],[Lapsed Date]],12),"")</f>
        <v/>
      </c>
      <c r="R99" s="203" t="str">
        <f>IFERROR(EDATE(Table35[[#This Row],[Lapsed Date]],24),"")</f>
        <v/>
      </c>
      <c r="S99" s="205">
        <f ca="1">DATEDIF(Table35[[#This Row],[Paid to Date]],TODAY(), "M")</f>
        <v>1516</v>
      </c>
      <c r="T99" s="203">
        <f ca="1">Table35[[#This Row],[Number of Monthly premiums missing]]*(Table35[[#This Row],[Lapsed API]]/12)</f>
        <v>0</v>
      </c>
      <c r="U99" s="204">
        <f>(Table35[[#This Row],[Lapsed API]]/12)*3</f>
        <v>0</v>
      </c>
      <c r="V99" s="15"/>
      <c r="W99" s="19"/>
    </row>
    <row r="100" spans="1:23" ht="20.100000000000001" customHeight="1" x14ac:dyDescent="0.3">
      <c r="A100" s="20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203" t="str">
        <f>IF(ISBLANK(Table35[[#This Row],[Paid to Date]]),"",DATE(YEAR(Table35[[#This Row],[Paid to Date]]),MONTH(Table35[[#This Row],[Paid to Date]]),DAY(Table35[[#This Row],[Paid to Date]])+90))</f>
        <v/>
      </c>
      <c r="M100" s="15"/>
      <c r="N100" s="15"/>
      <c r="O100" s="15"/>
      <c r="P100" s="203" t="str">
        <f>IFERROR(DATE(YEAR(Table35[[#This Row],[Lapsed Date]]),MONTH(Table35[[#This Row],[Lapsed Date]]),DAY(Table35[[#This Row],[Lapsed Date]])+20),"")</f>
        <v/>
      </c>
      <c r="Q100" s="203" t="str">
        <f>IFERROR(EDATE(Table35[[#This Row],[Lapsed Date]],12),"")</f>
        <v/>
      </c>
      <c r="R100" s="203" t="str">
        <f>IFERROR(EDATE(Table35[[#This Row],[Lapsed Date]],24),"")</f>
        <v/>
      </c>
      <c r="S100" s="205">
        <f ca="1">DATEDIF(Table35[[#This Row],[Paid to Date]],TODAY(), "M")</f>
        <v>1516</v>
      </c>
      <c r="T100" s="203">
        <f ca="1">Table35[[#This Row],[Number of Monthly premiums missing]]*(Table35[[#This Row],[Lapsed API]]/12)</f>
        <v>0</v>
      </c>
      <c r="U100" s="204">
        <f>(Table35[[#This Row],[Lapsed API]]/12)*3</f>
        <v>0</v>
      </c>
      <c r="V100" s="15"/>
      <c r="W100" s="19"/>
    </row>
    <row r="101" spans="1:23" ht="20.100000000000001" customHeight="1" x14ac:dyDescent="0.3">
      <c r="A101" s="20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203" t="str">
        <f>IF(ISBLANK(Table35[[#This Row],[Paid to Date]]),"",DATE(YEAR(Table35[[#This Row],[Paid to Date]]),MONTH(Table35[[#This Row],[Paid to Date]]),DAY(Table35[[#This Row],[Paid to Date]])+90))</f>
        <v/>
      </c>
      <c r="M101" s="15"/>
      <c r="N101" s="15"/>
      <c r="O101" s="15"/>
      <c r="P101" s="203" t="str">
        <f>IFERROR(DATE(YEAR(Table35[[#This Row],[Lapsed Date]]),MONTH(Table35[[#This Row],[Lapsed Date]]),DAY(Table35[[#This Row],[Lapsed Date]])+20),"")</f>
        <v/>
      </c>
      <c r="Q101" s="203" t="str">
        <f>IFERROR(EDATE(Table35[[#This Row],[Lapsed Date]],12),"")</f>
        <v/>
      </c>
      <c r="R101" s="203" t="str">
        <f>IFERROR(EDATE(Table35[[#This Row],[Lapsed Date]],24),"")</f>
        <v/>
      </c>
      <c r="S101" s="205">
        <f ca="1">DATEDIF(Table35[[#This Row],[Paid to Date]],TODAY(), "M")</f>
        <v>1516</v>
      </c>
      <c r="T101" s="203">
        <f ca="1">Table35[[#This Row],[Number of Monthly premiums missing]]*(Table35[[#This Row],[Lapsed API]]/12)</f>
        <v>0</v>
      </c>
      <c r="U101" s="204">
        <f>(Table35[[#This Row],[Lapsed API]]/12)*3</f>
        <v>0</v>
      </c>
      <c r="V101" s="15"/>
      <c r="W101" s="19"/>
    </row>
    <row r="102" spans="1:23" ht="20.100000000000001" customHeight="1" x14ac:dyDescent="0.3">
      <c r="A102" s="20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03" t="str">
        <f>IF(ISBLANK(Table35[[#This Row],[Paid to Date]]),"",DATE(YEAR(Table35[[#This Row],[Paid to Date]]),MONTH(Table35[[#This Row],[Paid to Date]]),DAY(Table35[[#This Row],[Paid to Date]])+90))</f>
        <v/>
      </c>
      <c r="M102" s="15"/>
      <c r="N102" s="15"/>
      <c r="O102" s="15"/>
      <c r="P102" s="203" t="str">
        <f>IFERROR(DATE(YEAR(Table35[[#This Row],[Lapsed Date]]),MONTH(Table35[[#This Row],[Lapsed Date]]),DAY(Table35[[#This Row],[Lapsed Date]])+20),"")</f>
        <v/>
      </c>
      <c r="Q102" s="203" t="str">
        <f>IFERROR(EDATE(Table35[[#This Row],[Lapsed Date]],12),"")</f>
        <v/>
      </c>
      <c r="R102" s="203" t="str">
        <f>IFERROR(EDATE(Table35[[#This Row],[Lapsed Date]],24),"")</f>
        <v/>
      </c>
      <c r="S102" s="205">
        <f ca="1">DATEDIF(Table35[[#This Row],[Paid to Date]],TODAY(), "M")</f>
        <v>1516</v>
      </c>
      <c r="T102" s="203">
        <f ca="1">Table35[[#This Row],[Number of Monthly premiums missing]]*(Table35[[#This Row],[Lapsed API]]/12)</f>
        <v>0</v>
      </c>
      <c r="U102" s="204">
        <f>(Table35[[#This Row],[Lapsed API]]/12)*3</f>
        <v>0</v>
      </c>
      <c r="V102" s="15"/>
      <c r="W102" s="19"/>
    </row>
    <row r="103" spans="1:23" ht="20.100000000000001" customHeight="1" x14ac:dyDescent="0.3">
      <c r="A103" s="20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203" t="str">
        <f>IF(ISBLANK(Table35[[#This Row],[Paid to Date]]),"",DATE(YEAR(Table35[[#This Row],[Paid to Date]]),MONTH(Table35[[#This Row],[Paid to Date]]),DAY(Table35[[#This Row],[Paid to Date]])+90))</f>
        <v/>
      </c>
      <c r="M103" s="15"/>
      <c r="N103" s="15"/>
      <c r="O103" s="15"/>
      <c r="P103" s="203" t="str">
        <f>IFERROR(DATE(YEAR(Table35[[#This Row],[Lapsed Date]]),MONTH(Table35[[#This Row],[Lapsed Date]]),DAY(Table35[[#This Row],[Lapsed Date]])+20),"")</f>
        <v/>
      </c>
      <c r="Q103" s="203" t="str">
        <f>IFERROR(EDATE(Table35[[#This Row],[Lapsed Date]],12),"")</f>
        <v/>
      </c>
      <c r="R103" s="203" t="str">
        <f>IFERROR(EDATE(Table35[[#This Row],[Lapsed Date]],24),"")</f>
        <v/>
      </c>
      <c r="S103" s="205">
        <f ca="1">DATEDIF(Table35[[#This Row],[Paid to Date]],TODAY(), "M")</f>
        <v>1516</v>
      </c>
      <c r="T103" s="203">
        <f ca="1">Table35[[#This Row],[Number of Monthly premiums missing]]*(Table35[[#This Row],[Lapsed API]]/12)</f>
        <v>0</v>
      </c>
      <c r="U103" s="204">
        <f>(Table35[[#This Row],[Lapsed API]]/12)*3</f>
        <v>0</v>
      </c>
      <c r="V103" s="15"/>
      <c r="W103" s="19"/>
    </row>
    <row r="104" spans="1:23" ht="20.100000000000001" customHeight="1" x14ac:dyDescent="0.3">
      <c r="A104" s="20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203" t="str">
        <f>IF(ISBLANK(Table35[[#This Row],[Paid to Date]]),"",DATE(YEAR(Table35[[#This Row],[Paid to Date]]),MONTH(Table35[[#This Row],[Paid to Date]]),DAY(Table35[[#This Row],[Paid to Date]])+90))</f>
        <v/>
      </c>
      <c r="M104" s="15"/>
      <c r="N104" s="15"/>
      <c r="O104" s="15"/>
      <c r="P104" s="203" t="str">
        <f>IFERROR(DATE(YEAR(Table35[[#This Row],[Lapsed Date]]),MONTH(Table35[[#This Row],[Lapsed Date]]),DAY(Table35[[#This Row],[Lapsed Date]])+20),"")</f>
        <v/>
      </c>
      <c r="Q104" s="203" t="str">
        <f>IFERROR(EDATE(Table35[[#This Row],[Lapsed Date]],12),"")</f>
        <v/>
      </c>
      <c r="R104" s="203" t="str">
        <f>IFERROR(EDATE(Table35[[#This Row],[Lapsed Date]],24),"")</f>
        <v/>
      </c>
      <c r="S104" s="205">
        <f ca="1">DATEDIF(Table35[[#This Row],[Paid to Date]],TODAY(), "M")</f>
        <v>1516</v>
      </c>
      <c r="T104" s="203">
        <f ca="1">Table35[[#This Row],[Number of Monthly premiums missing]]*(Table35[[#This Row],[Lapsed API]]/12)</f>
        <v>0</v>
      </c>
      <c r="U104" s="204">
        <f>(Table35[[#This Row],[Lapsed API]]/12)*3</f>
        <v>0</v>
      </c>
      <c r="V104" s="15"/>
      <c r="W104" s="19"/>
    </row>
    <row r="105" spans="1:23" ht="20.100000000000001" customHeight="1" x14ac:dyDescent="0.3">
      <c r="A105" s="20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03" t="str">
        <f>IF(ISBLANK(Table35[[#This Row],[Paid to Date]]),"",DATE(YEAR(Table35[[#This Row],[Paid to Date]]),MONTH(Table35[[#This Row],[Paid to Date]]),DAY(Table35[[#This Row],[Paid to Date]])+90))</f>
        <v/>
      </c>
      <c r="M105" s="15"/>
      <c r="N105" s="15"/>
      <c r="O105" s="15"/>
      <c r="P105" s="203" t="str">
        <f>IFERROR(DATE(YEAR(Table35[[#This Row],[Lapsed Date]]),MONTH(Table35[[#This Row],[Lapsed Date]]),DAY(Table35[[#This Row],[Lapsed Date]])+20),"")</f>
        <v/>
      </c>
      <c r="Q105" s="203" t="str">
        <f>IFERROR(EDATE(Table35[[#This Row],[Lapsed Date]],12),"")</f>
        <v/>
      </c>
      <c r="R105" s="203" t="str">
        <f>IFERROR(EDATE(Table35[[#This Row],[Lapsed Date]],24),"")</f>
        <v/>
      </c>
      <c r="S105" s="205">
        <f ca="1">DATEDIF(Table35[[#This Row],[Paid to Date]],TODAY(), "M")</f>
        <v>1516</v>
      </c>
      <c r="T105" s="203">
        <f ca="1">Table35[[#This Row],[Number of Monthly premiums missing]]*(Table35[[#This Row],[Lapsed API]]/12)</f>
        <v>0</v>
      </c>
      <c r="U105" s="204">
        <f>(Table35[[#This Row],[Lapsed API]]/12)*3</f>
        <v>0</v>
      </c>
      <c r="V105" s="15"/>
      <c r="W105" s="19"/>
    </row>
    <row r="106" spans="1:23" ht="20.100000000000001" customHeight="1" x14ac:dyDescent="0.3">
      <c r="A106" s="20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03" t="str">
        <f>IF(ISBLANK(Table35[[#This Row],[Paid to Date]]),"",DATE(YEAR(Table35[[#This Row],[Paid to Date]]),MONTH(Table35[[#This Row],[Paid to Date]]),DAY(Table35[[#This Row],[Paid to Date]])+90))</f>
        <v/>
      </c>
      <c r="M106" s="15"/>
      <c r="N106" s="15"/>
      <c r="O106" s="15"/>
      <c r="P106" s="203" t="str">
        <f>IFERROR(DATE(YEAR(Table35[[#This Row],[Lapsed Date]]),MONTH(Table35[[#This Row],[Lapsed Date]]),DAY(Table35[[#This Row],[Lapsed Date]])+20),"")</f>
        <v/>
      </c>
      <c r="Q106" s="203" t="str">
        <f>IFERROR(EDATE(Table35[[#This Row],[Lapsed Date]],12),"")</f>
        <v/>
      </c>
      <c r="R106" s="203" t="str">
        <f>IFERROR(EDATE(Table35[[#This Row],[Lapsed Date]],24),"")</f>
        <v/>
      </c>
      <c r="S106" s="205">
        <f ca="1">DATEDIF(Table35[[#This Row],[Paid to Date]],TODAY(), "M")</f>
        <v>1516</v>
      </c>
      <c r="T106" s="203">
        <f ca="1">Table35[[#This Row],[Number of Monthly premiums missing]]*(Table35[[#This Row],[Lapsed API]]/12)</f>
        <v>0</v>
      </c>
      <c r="U106" s="204">
        <f>(Table35[[#This Row],[Lapsed API]]/12)*3</f>
        <v>0</v>
      </c>
      <c r="V106" s="15"/>
      <c r="W106" s="19"/>
    </row>
    <row r="107" spans="1:23" ht="20.100000000000001" customHeight="1" x14ac:dyDescent="0.3">
      <c r="A107" s="20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03" t="str">
        <f>IF(ISBLANK(Table35[[#This Row],[Paid to Date]]),"",DATE(YEAR(Table35[[#This Row],[Paid to Date]]),MONTH(Table35[[#This Row],[Paid to Date]]),DAY(Table35[[#This Row],[Paid to Date]])+90))</f>
        <v/>
      </c>
      <c r="M107" s="15"/>
      <c r="N107" s="15"/>
      <c r="O107" s="15"/>
      <c r="P107" s="203" t="str">
        <f>IFERROR(DATE(YEAR(Table35[[#This Row],[Lapsed Date]]),MONTH(Table35[[#This Row],[Lapsed Date]]),DAY(Table35[[#This Row],[Lapsed Date]])+20),"")</f>
        <v/>
      </c>
      <c r="Q107" s="203" t="str">
        <f>IFERROR(EDATE(Table35[[#This Row],[Lapsed Date]],12),"")</f>
        <v/>
      </c>
      <c r="R107" s="203" t="str">
        <f>IFERROR(EDATE(Table35[[#This Row],[Lapsed Date]],24),"")</f>
        <v/>
      </c>
      <c r="S107" s="205">
        <f ca="1">DATEDIF(Table35[[#This Row],[Paid to Date]],TODAY(), "M")</f>
        <v>1516</v>
      </c>
      <c r="T107" s="203">
        <f ca="1">Table35[[#This Row],[Number of Monthly premiums missing]]*(Table35[[#This Row],[Lapsed API]]/12)</f>
        <v>0</v>
      </c>
      <c r="U107" s="204">
        <f>(Table35[[#This Row],[Lapsed API]]/12)*3</f>
        <v>0</v>
      </c>
      <c r="V107" s="15"/>
      <c r="W107" s="19"/>
    </row>
    <row r="108" spans="1:23" ht="20.100000000000001" customHeight="1" x14ac:dyDescent="0.3">
      <c r="A108" s="20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03" t="str">
        <f>IF(ISBLANK(Table35[[#This Row],[Paid to Date]]),"",DATE(YEAR(Table35[[#This Row],[Paid to Date]]),MONTH(Table35[[#This Row],[Paid to Date]]),DAY(Table35[[#This Row],[Paid to Date]])+90))</f>
        <v/>
      </c>
      <c r="M108" s="15"/>
      <c r="N108" s="15"/>
      <c r="O108" s="15"/>
      <c r="P108" s="203" t="str">
        <f>IFERROR(DATE(YEAR(Table35[[#This Row],[Lapsed Date]]),MONTH(Table35[[#This Row],[Lapsed Date]]),DAY(Table35[[#This Row],[Lapsed Date]])+20),"")</f>
        <v/>
      </c>
      <c r="Q108" s="203" t="str">
        <f>IFERROR(EDATE(Table35[[#This Row],[Lapsed Date]],12),"")</f>
        <v/>
      </c>
      <c r="R108" s="203" t="str">
        <f>IFERROR(EDATE(Table35[[#This Row],[Lapsed Date]],24),"")</f>
        <v/>
      </c>
      <c r="S108" s="205">
        <f ca="1">DATEDIF(Table35[[#This Row],[Paid to Date]],TODAY(), "M")</f>
        <v>1516</v>
      </c>
      <c r="T108" s="203">
        <f ca="1">Table35[[#This Row],[Number of Monthly premiums missing]]*(Table35[[#This Row],[Lapsed API]]/12)</f>
        <v>0</v>
      </c>
      <c r="U108" s="204">
        <f>(Table35[[#This Row],[Lapsed API]]/12)*3</f>
        <v>0</v>
      </c>
      <c r="V108" s="15"/>
      <c r="W108" s="19"/>
    </row>
    <row r="109" spans="1:23" ht="20.100000000000001" customHeight="1" x14ac:dyDescent="0.3">
      <c r="A109" s="20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203" t="str">
        <f>IF(ISBLANK(Table35[[#This Row],[Paid to Date]]),"",DATE(YEAR(Table35[[#This Row],[Paid to Date]]),MONTH(Table35[[#This Row],[Paid to Date]]),DAY(Table35[[#This Row],[Paid to Date]])+90))</f>
        <v/>
      </c>
      <c r="M109" s="15"/>
      <c r="N109" s="15"/>
      <c r="O109" s="15"/>
      <c r="P109" s="203" t="str">
        <f>IFERROR(DATE(YEAR(Table35[[#This Row],[Lapsed Date]]),MONTH(Table35[[#This Row],[Lapsed Date]]),DAY(Table35[[#This Row],[Lapsed Date]])+20),"")</f>
        <v/>
      </c>
      <c r="Q109" s="203" t="str">
        <f>IFERROR(EDATE(Table35[[#This Row],[Lapsed Date]],12),"")</f>
        <v/>
      </c>
      <c r="R109" s="203" t="str">
        <f>IFERROR(EDATE(Table35[[#This Row],[Lapsed Date]],24),"")</f>
        <v/>
      </c>
      <c r="S109" s="205">
        <f ca="1">DATEDIF(Table35[[#This Row],[Paid to Date]],TODAY(), "M")</f>
        <v>1516</v>
      </c>
      <c r="T109" s="203">
        <f ca="1">Table35[[#This Row],[Number of Monthly premiums missing]]*(Table35[[#This Row],[Lapsed API]]/12)</f>
        <v>0</v>
      </c>
      <c r="U109" s="204">
        <f>(Table35[[#This Row],[Lapsed API]]/12)*3</f>
        <v>0</v>
      </c>
      <c r="V109" s="15"/>
      <c r="W109" s="19"/>
    </row>
    <row r="110" spans="1:23" ht="20.100000000000001" customHeight="1" x14ac:dyDescent="0.3">
      <c r="A110" s="20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203" t="str">
        <f>IF(ISBLANK(Table35[[#This Row],[Paid to Date]]),"",DATE(YEAR(Table35[[#This Row],[Paid to Date]]),MONTH(Table35[[#This Row],[Paid to Date]]),DAY(Table35[[#This Row],[Paid to Date]])+90))</f>
        <v/>
      </c>
      <c r="M110" s="15"/>
      <c r="N110" s="15"/>
      <c r="O110" s="15"/>
      <c r="P110" s="203" t="str">
        <f>IFERROR(DATE(YEAR(Table35[[#This Row],[Lapsed Date]]),MONTH(Table35[[#This Row],[Lapsed Date]]),DAY(Table35[[#This Row],[Lapsed Date]])+20),"")</f>
        <v/>
      </c>
      <c r="Q110" s="203" t="str">
        <f>IFERROR(EDATE(Table35[[#This Row],[Lapsed Date]],12),"")</f>
        <v/>
      </c>
      <c r="R110" s="203" t="str">
        <f>IFERROR(EDATE(Table35[[#This Row],[Lapsed Date]],24),"")</f>
        <v/>
      </c>
      <c r="S110" s="205">
        <f ca="1">DATEDIF(Table35[[#This Row],[Paid to Date]],TODAY(), "M")</f>
        <v>1516</v>
      </c>
      <c r="T110" s="203">
        <f ca="1">Table35[[#This Row],[Number of Monthly premiums missing]]*(Table35[[#This Row],[Lapsed API]]/12)</f>
        <v>0</v>
      </c>
      <c r="U110" s="204">
        <f>(Table35[[#This Row],[Lapsed API]]/12)*3</f>
        <v>0</v>
      </c>
      <c r="V110" s="15"/>
      <c r="W110" s="19"/>
    </row>
    <row r="111" spans="1:23" ht="20.100000000000001" customHeight="1" x14ac:dyDescent="0.3">
      <c r="A111" s="20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03" t="str">
        <f>IF(ISBLANK(Table35[[#This Row],[Paid to Date]]),"",DATE(YEAR(Table35[[#This Row],[Paid to Date]]),MONTH(Table35[[#This Row],[Paid to Date]]),DAY(Table35[[#This Row],[Paid to Date]])+90))</f>
        <v/>
      </c>
      <c r="M111" s="15"/>
      <c r="N111" s="15"/>
      <c r="O111" s="15"/>
      <c r="P111" s="203" t="str">
        <f>IFERROR(DATE(YEAR(Table35[[#This Row],[Lapsed Date]]),MONTH(Table35[[#This Row],[Lapsed Date]]),DAY(Table35[[#This Row],[Lapsed Date]])+20),"")</f>
        <v/>
      </c>
      <c r="Q111" s="203" t="str">
        <f>IFERROR(EDATE(Table35[[#This Row],[Lapsed Date]],12),"")</f>
        <v/>
      </c>
      <c r="R111" s="203" t="str">
        <f>IFERROR(EDATE(Table35[[#This Row],[Lapsed Date]],24),"")</f>
        <v/>
      </c>
      <c r="S111" s="205">
        <f ca="1">DATEDIF(Table35[[#This Row],[Paid to Date]],TODAY(), "M")</f>
        <v>1516</v>
      </c>
      <c r="T111" s="203">
        <f ca="1">Table35[[#This Row],[Number of Monthly premiums missing]]*(Table35[[#This Row],[Lapsed API]]/12)</f>
        <v>0</v>
      </c>
      <c r="U111" s="204">
        <f>(Table35[[#This Row],[Lapsed API]]/12)*3</f>
        <v>0</v>
      </c>
      <c r="V111" s="15"/>
      <c r="W111" s="19"/>
    </row>
    <row r="112" spans="1:23" ht="20.100000000000001" customHeight="1" x14ac:dyDescent="0.3">
      <c r="A112" s="20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03" t="str">
        <f>IF(ISBLANK(Table35[[#This Row],[Paid to Date]]),"",DATE(YEAR(Table35[[#This Row],[Paid to Date]]),MONTH(Table35[[#This Row],[Paid to Date]]),DAY(Table35[[#This Row],[Paid to Date]])+90))</f>
        <v/>
      </c>
      <c r="M112" s="15"/>
      <c r="N112" s="15"/>
      <c r="O112" s="15"/>
      <c r="P112" s="203" t="str">
        <f>IFERROR(DATE(YEAR(Table35[[#This Row],[Lapsed Date]]),MONTH(Table35[[#This Row],[Lapsed Date]]),DAY(Table35[[#This Row],[Lapsed Date]])+20),"")</f>
        <v/>
      </c>
      <c r="Q112" s="203" t="str">
        <f>IFERROR(EDATE(Table35[[#This Row],[Lapsed Date]],12),"")</f>
        <v/>
      </c>
      <c r="R112" s="203" t="str">
        <f>IFERROR(EDATE(Table35[[#This Row],[Lapsed Date]],24),"")</f>
        <v/>
      </c>
      <c r="S112" s="205">
        <f ca="1">DATEDIF(Table35[[#This Row],[Paid to Date]],TODAY(), "M")</f>
        <v>1516</v>
      </c>
      <c r="T112" s="203">
        <f ca="1">Table35[[#This Row],[Number of Monthly premiums missing]]*(Table35[[#This Row],[Lapsed API]]/12)</f>
        <v>0</v>
      </c>
      <c r="U112" s="204">
        <f>(Table35[[#This Row],[Lapsed API]]/12)*3</f>
        <v>0</v>
      </c>
      <c r="V112" s="15"/>
      <c r="W112" s="19"/>
    </row>
    <row r="113" spans="1:23" ht="20.100000000000001" customHeight="1" x14ac:dyDescent="0.3">
      <c r="A113" s="2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03" t="str">
        <f>IF(ISBLANK(Table35[[#This Row],[Paid to Date]]),"",DATE(YEAR(Table35[[#This Row],[Paid to Date]]),MONTH(Table35[[#This Row],[Paid to Date]]),DAY(Table35[[#This Row],[Paid to Date]])+90))</f>
        <v/>
      </c>
      <c r="M113" s="15"/>
      <c r="N113" s="15"/>
      <c r="O113" s="15"/>
      <c r="P113" s="203" t="str">
        <f>IFERROR(DATE(YEAR(Table35[[#This Row],[Lapsed Date]]),MONTH(Table35[[#This Row],[Lapsed Date]]),DAY(Table35[[#This Row],[Lapsed Date]])+20),"")</f>
        <v/>
      </c>
      <c r="Q113" s="203" t="str">
        <f>IFERROR(EDATE(Table35[[#This Row],[Lapsed Date]],12),"")</f>
        <v/>
      </c>
      <c r="R113" s="203" t="str">
        <f>IFERROR(EDATE(Table35[[#This Row],[Lapsed Date]],24),"")</f>
        <v/>
      </c>
      <c r="S113" s="205">
        <f ca="1">DATEDIF(Table35[[#This Row],[Paid to Date]],TODAY(), "M")</f>
        <v>1516</v>
      </c>
      <c r="T113" s="203">
        <f ca="1">Table35[[#This Row],[Number of Monthly premiums missing]]*(Table35[[#This Row],[Lapsed API]]/12)</f>
        <v>0</v>
      </c>
      <c r="U113" s="204">
        <f>(Table35[[#This Row],[Lapsed API]]/12)*3</f>
        <v>0</v>
      </c>
      <c r="V113" s="15"/>
      <c r="W113" s="19"/>
    </row>
    <row r="114" spans="1:23" ht="20.100000000000001" customHeight="1" x14ac:dyDescent="0.3">
      <c r="A114" s="20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03" t="str">
        <f>IF(ISBLANK(Table35[[#This Row],[Paid to Date]]),"",DATE(YEAR(Table35[[#This Row],[Paid to Date]]),MONTH(Table35[[#This Row],[Paid to Date]]),DAY(Table35[[#This Row],[Paid to Date]])+90))</f>
        <v/>
      </c>
      <c r="M114" s="15"/>
      <c r="N114" s="15"/>
      <c r="O114" s="15"/>
      <c r="P114" s="203" t="str">
        <f>IFERROR(DATE(YEAR(Table35[[#This Row],[Lapsed Date]]),MONTH(Table35[[#This Row],[Lapsed Date]]),DAY(Table35[[#This Row],[Lapsed Date]])+20),"")</f>
        <v/>
      </c>
      <c r="Q114" s="203" t="str">
        <f>IFERROR(EDATE(Table35[[#This Row],[Lapsed Date]],12),"")</f>
        <v/>
      </c>
      <c r="R114" s="203" t="str">
        <f>IFERROR(EDATE(Table35[[#This Row],[Lapsed Date]],24),"")</f>
        <v/>
      </c>
      <c r="S114" s="205">
        <f ca="1">DATEDIF(Table35[[#This Row],[Paid to Date]],TODAY(), "M")</f>
        <v>1516</v>
      </c>
      <c r="T114" s="203">
        <f ca="1">Table35[[#This Row],[Number of Monthly premiums missing]]*(Table35[[#This Row],[Lapsed API]]/12)</f>
        <v>0</v>
      </c>
      <c r="U114" s="204">
        <f>(Table35[[#This Row],[Lapsed API]]/12)*3</f>
        <v>0</v>
      </c>
      <c r="V114" s="15"/>
      <c r="W114" s="19"/>
    </row>
    <row r="115" spans="1:23" ht="20.100000000000001" customHeight="1" x14ac:dyDescent="0.3">
      <c r="A115" s="20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03" t="str">
        <f>IF(ISBLANK(Table35[[#This Row],[Paid to Date]]),"",DATE(YEAR(Table35[[#This Row],[Paid to Date]]),MONTH(Table35[[#This Row],[Paid to Date]]),DAY(Table35[[#This Row],[Paid to Date]])+90))</f>
        <v/>
      </c>
      <c r="M115" s="15"/>
      <c r="N115" s="15"/>
      <c r="O115" s="15"/>
      <c r="P115" s="203" t="str">
        <f>IFERROR(DATE(YEAR(Table35[[#This Row],[Lapsed Date]]),MONTH(Table35[[#This Row],[Lapsed Date]]),DAY(Table35[[#This Row],[Lapsed Date]])+20),"")</f>
        <v/>
      </c>
      <c r="Q115" s="203" t="str">
        <f>IFERROR(EDATE(Table35[[#This Row],[Lapsed Date]],12),"")</f>
        <v/>
      </c>
      <c r="R115" s="203" t="str">
        <f>IFERROR(EDATE(Table35[[#This Row],[Lapsed Date]],24),"")</f>
        <v/>
      </c>
      <c r="S115" s="205">
        <f ca="1">DATEDIF(Table35[[#This Row],[Paid to Date]],TODAY(), "M")</f>
        <v>1516</v>
      </c>
      <c r="T115" s="203">
        <f ca="1">Table35[[#This Row],[Number of Monthly premiums missing]]*(Table35[[#This Row],[Lapsed API]]/12)</f>
        <v>0</v>
      </c>
      <c r="U115" s="204">
        <f>(Table35[[#This Row],[Lapsed API]]/12)*3</f>
        <v>0</v>
      </c>
      <c r="V115" s="15"/>
      <c r="W115" s="19"/>
    </row>
    <row r="116" spans="1:23" ht="20.100000000000001" customHeight="1" x14ac:dyDescent="0.3">
      <c r="A116" s="20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03" t="str">
        <f>IF(ISBLANK(Table35[[#This Row],[Paid to Date]]),"",DATE(YEAR(Table35[[#This Row],[Paid to Date]]),MONTH(Table35[[#This Row],[Paid to Date]]),DAY(Table35[[#This Row],[Paid to Date]])+90))</f>
        <v/>
      </c>
      <c r="M116" s="15"/>
      <c r="N116" s="15"/>
      <c r="O116" s="15"/>
      <c r="P116" s="203" t="str">
        <f>IFERROR(DATE(YEAR(Table35[[#This Row],[Lapsed Date]]),MONTH(Table35[[#This Row],[Lapsed Date]]),DAY(Table35[[#This Row],[Lapsed Date]])+20),"")</f>
        <v/>
      </c>
      <c r="Q116" s="203" t="str">
        <f>IFERROR(EDATE(Table35[[#This Row],[Lapsed Date]],12),"")</f>
        <v/>
      </c>
      <c r="R116" s="203" t="str">
        <f>IFERROR(EDATE(Table35[[#This Row],[Lapsed Date]],24),"")</f>
        <v/>
      </c>
      <c r="S116" s="205">
        <f ca="1">DATEDIF(Table35[[#This Row],[Paid to Date]],TODAY(), "M")</f>
        <v>1516</v>
      </c>
      <c r="T116" s="203">
        <f ca="1">Table35[[#This Row],[Number of Monthly premiums missing]]*(Table35[[#This Row],[Lapsed API]]/12)</f>
        <v>0</v>
      </c>
      <c r="U116" s="204">
        <f>(Table35[[#This Row],[Lapsed API]]/12)*3</f>
        <v>0</v>
      </c>
      <c r="V116" s="15"/>
      <c r="W116" s="19"/>
    </row>
    <row r="117" spans="1:23" ht="20.100000000000001" customHeight="1" x14ac:dyDescent="0.3">
      <c r="A117" s="20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03" t="str">
        <f>IF(ISBLANK(Table35[[#This Row],[Paid to Date]]),"",DATE(YEAR(Table35[[#This Row],[Paid to Date]]),MONTH(Table35[[#This Row],[Paid to Date]]),DAY(Table35[[#This Row],[Paid to Date]])+90))</f>
        <v/>
      </c>
      <c r="M117" s="15"/>
      <c r="N117" s="15"/>
      <c r="O117" s="15"/>
      <c r="P117" s="203" t="str">
        <f>IFERROR(DATE(YEAR(Table35[[#This Row],[Lapsed Date]]),MONTH(Table35[[#This Row],[Lapsed Date]]),DAY(Table35[[#This Row],[Lapsed Date]])+20),"")</f>
        <v/>
      </c>
      <c r="Q117" s="203" t="str">
        <f>IFERROR(EDATE(Table35[[#This Row],[Lapsed Date]],12),"")</f>
        <v/>
      </c>
      <c r="R117" s="203" t="str">
        <f>IFERROR(EDATE(Table35[[#This Row],[Lapsed Date]],24),"")</f>
        <v/>
      </c>
      <c r="S117" s="205">
        <f ca="1">DATEDIF(Table35[[#This Row],[Paid to Date]],TODAY(), "M")</f>
        <v>1516</v>
      </c>
      <c r="T117" s="203">
        <f ca="1">Table35[[#This Row],[Number of Monthly premiums missing]]*(Table35[[#This Row],[Lapsed API]]/12)</f>
        <v>0</v>
      </c>
      <c r="U117" s="204">
        <f>(Table35[[#This Row],[Lapsed API]]/12)*3</f>
        <v>0</v>
      </c>
      <c r="V117" s="15"/>
      <c r="W117" s="19"/>
    </row>
    <row r="118" spans="1:23" ht="20.100000000000001" customHeight="1" x14ac:dyDescent="0.3">
      <c r="A118" s="20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03" t="str">
        <f>IF(ISBLANK(Table35[[#This Row],[Paid to Date]]),"",DATE(YEAR(Table35[[#This Row],[Paid to Date]]),MONTH(Table35[[#This Row],[Paid to Date]]),DAY(Table35[[#This Row],[Paid to Date]])+90))</f>
        <v/>
      </c>
      <c r="M118" s="15"/>
      <c r="N118" s="15"/>
      <c r="O118" s="15"/>
      <c r="P118" s="203" t="str">
        <f>IFERROR(DATE(YEAR(Table35[[#This Row],[Lapsed Date]]),MONTH(Table35[[#This Row],[Lapsed Date]]),DAY(Table35[[#This Row],[Lapsed Date]])+20),"")</f>
        <v/>
      </c>
      <c r="Q118" s="203" t="str">
        <f>IFERROR(EDATE(Table35[[#This Row],[Lapsed Date]],12),"")</f>
        <v/>
      </c>
      <c r="R118" s="203" t="str">
        <f>IFERROR(EDATE(Table35[[#This Row],[Lapsed Date]],24),"")</f>
        <v/>
      </c>
      <c r="S118" s="205">
        <f ca="1">DATEDIF(Table35[[#This Row],[Paid to Date]],TODAY(), "M")</f>
        <v>1516</v>
      </c>
      <c r="T118" s="203">
        <f ca="1">Table35[[#This Row],[Number of Monthly premiums missing]]*(Table35[[#This Row],[Lapsed API]]/12)</f>
        <v>0</v>
      </c>
      <c r="U118" s="204">
        <f>(Table35[[#This Row],[Lapsed API]]/12)*3</f>
        <v>0</v>
      </c>
      <c r="V118" s="15"/>
      <c r="W118" s="19"/>
    </row>
    <row r="119" spans="1:23" ht="20.100000000000001" customHeight="1" x14ac:dyDescent="0.3">
      <c r="A119" s="20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03" t="str">
        <f>IF(ISBLANK(Table35[[#This Row],[Paid to Date]]),"",DATE(YEAR(Table35[[#This Row],[Paid to Date]]),MONTH(Table35[[#This Row],[Paid to Date]]),DAY(Table35[[#This Row],[Paid to Date]])+90))</f>
        <v/>
      </c>
      <c r="M119" s="15"/>
      <c r="N119" s="15"/>
      <c r="O119" s="15"/>
      <c r="P119" s="203" t="str">
        <f>IFERROR(DATE(YEAR(Table35[[#This Row],[Lapsed Date]]),MONTH(Table35[[#This Row],[Lapsed Date]]),DAY(Table35[[#This Row],[Lapsed Date]])+20),"")</f>
        <v/>
      </c>
      <c r="Q119" s="203" t="str">
        <f>IFERROR(EDATE(Table35[[#This Row],[Lapsed Date]],12),"")</f>
        <v/>
      </c>
      <c r="R119" s="203" t="str">
        <f>IFERROR(EDATE(Table35[[#This Row],[Lapsed Date]],24),"")</f>
        <v/>
      </c>
      <c r="S119" s="205">
        <f ca="1">DATEDIF(Table35[[#This Row],[Paid to Date]],TODAY(), "M")</f>
        <v>1516</v>
      </c>
      <c r="T119" s="203">
        <f ca="1">Table35[[#This Row],[Number of Monthly premiums missing]]*(Table35[[#This Row],[Lapsed API]]/12)</f>
        <v>0</v>
      </c>
      <c r="U119" s="204">
        <f>(Table35[[#This Row],[Lapsed API]]/12)*3</f>
        <v>0</v>
      </c>
      <c r="V119" s="15"/>
      <c r="W119" s="19"/>
    </row>
    <row r="120" spans="1:23" ht="20.100000000000001" customHeight="1" x14ac:dyDescent="0.3">
      <c r="A120" s="2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03" t="str">
        <f>IF(ISBLANK(Table35[[#This Row],[Paid to Date]]),"",DATE(YEAR(Table35[[#This Row],[Paid to Date]]),MONTH(Table35[[#This Row],[Paid to Date]]),DAY(Table35[[#This Row],[Paid to Date]])+90))</f>
        <v/>
      </c>
      <c r="M120" s="15"/>
      <c r="N120" s="15"/>
      <c r="O120" s="15"/>
      <c r="P120" s="203" t="str">
        <f>IFERROR(DATE(YEAR(Table35[[#This Row],[Lapsed Date]]),MONTH(Table35[[#This Row],[Lapsed Date]]),DAY(Table35[[#This Row],[Lapsed Date]])+20),"")</f>
        <v/>
      </c>
      <c r="Q120" s="203" t="str">
        <f>IFERROR(EDATE(Table35[[#This Row],[Lapsed Date]],12),"")</f>
        <v/>
      </c>
      <c r="R120" s="203" t="str">
        <f>IFERROR(EDATE(Table35[[#This Row],[Lapsed Date]],24),"")</f>
        <v/>
      </c>
      <c r="S120" s="205">
        <f ca="1">DATEDIF(Table35[[#This Row],[Paid to Date]],TODAY(), "M")</f>
        <v>1516</v>
      </c>
      <c r="T120" s="203">
        <f ca="1">Table35[[#This Row],[Number of Monthly premiums missing]]*(Table35[[#This Row],[Lapsed API]]/12)</f>
        <v>0</v>
      </c>
      <c r="U120" s="204">
        <f>(Table35[[#This Row],[Lapsed API]]/12)*3</f>
        <v>0</v>
      </c>
      <c r="V120" s="15"/>
      <c r="W120" s="19"/>
    </row>
    <row r="121" spans="1:23" ht="20.100000000000001" customHeight="1" x14ac:dyDescent="0.3">
      <c r="A121" s="20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03" t="str">
        <f>IF(ISBLANK(Table35[[#This Row],[Paid to Date]]),"",DATE(YEAR(Table35[[#This Row],[Paid to Date]]),MONTH(Table35[[#This Row],[Paid to Date]]),DAY(Table35[[#This Row],[Paid to Date]])+90))</f>
        <v/>
      </c>
      <c r="M121" s="15"/>
      <c r="N121" s="15"/>
      <c r="O121" s="15"/>
      <c r="P121" s="203" t="str">
        <f>IFERROR(DATE(YEAR(Table35[[#This Row],[Lapsed Date]]),MONTH(Table35[[#This Row],[Lapsed Date]]),DAY(Table35[[#This Row],[Lapsed Date]])+20),"")</f>
        <v/>
      </c>
      <c r="Q121" s="203" t="str">
        <f>IFERROR(EDATE(Table35[[#This Row],[Lapsed Date]],12),"")</f>
        <v/>
      </c>
      <c r="R121" s="203" t="str">
        <f>IFERROR(EDATE(Table35[[#This Row],[Lapsed Date]],24),"")</f>
        <v/>
      </c>
      <c r="S121" s="205">
        <f ca="1">DATEDIF(Table35[[#This Row],[Paid to Date]],TODAY(), "M")</f>
        <v>1516</v>
      </c>
      <c r="T121" s="203">
        <f ca="1">Table35[[#This Row],[Number of Monthly premiums missing]]*(Table35[[#This Row],[Lapsed API]]/12)</f>
        <v>0</v>
      </c>
      <c r="U121" s="204">
        <f>(Table35[[#This Row],[Lapsed API]]/12)*3</f>
        <v>0</v>
      </c>
      <c r="V121" s="15"/>
      <c r="W121" s="19"/>
    </row>
    <row r="122" spans="1:23" ht="20.100000000000001" customHeight="1" x14ac:dyDescent="0.3">
      <c r="A122" s="20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03" t="str">
        <f>IF(ISBLANK(Table35[[#This Row],[Paid to Date]]),"",DATE(YEAR(Table35[[#This Row],[Paid to Date]]),MONTH(Table35[[#This Row],[Paid to Date]]),DAY(Table35[[#This Row],[Paid to Date]])+90))</f>
        <v/>
      </c>
      <c r="M122" s="15"/>
      <c r="N122" s="15"/>
      <c r="O122" s="15"/>
      <c r="P122" s="203" t="str">
        <f>IFERROR(DATE(YEAR(Table35[[#This Row],[Lapsed Date]]),MONTH(Table35[[#This Row],[Lapsed Date]]),DAY(Table35[[#This Row],[Lapsed Date]])+20),"")</f>
        <v/>
      </c>
      <c r="Q122" s="203" t="str">
        <f>IFERROR(EDATE(Table35[[#This Row],[Lapsed Date]],12),"")</f>
        <v/>
      </c>
      <c r="R122" s="203" t="str">
        <f>IFERROR(EDATE(Table35[[#This Row],[Lapsed Date]],24),"")</f>
        <v/>
      </c>
      <c r="S122" s="205">
        <f ca="1">DATEDIF(Table35[[#This Row],[Paid to Date]],TODAY(), "M")</f>
        <v>1516</v>
      </c>
      <c r="T122" s="203">
        <f ca="1">Table35[[#This Row],[Number of Monthly premiums missing]]*(Table35[[#This Row],[Lapsed API]]/12)</f>
        <v>0</v>
      </c>
      <c r="U122" s="204">
        <f>(Table35[[#This Row],[Lapsed API]]/12)*3</f>
        <v>0</v>
      </c>
      <c r="V122" s="15"/>
      <c r="W122" s="19"/>
    </row>
    <row r="123" spans="1:23" ht="20.100000000000001" customHeight="1" x14ac:dyDescent="0.3">
      <c r="A123" s="20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03" t="str">
        <f>IF(ISBLANK(Table35[[#This Row],[Paid to Date]]),"",DATE(YEAR(Table35[[#This Row],[Paid to Date]]),MONTH(Table35[[#This Row],[Paid to Date]]),DAY(Table35[[#This Row],[Paid to Date]])+90))</f>
        <v/>
      </c>
      <c r="M123" s="15"/>
      <c r="N123" s="15"/>
      <c r="O123" s="15"/>
      <c r="P123" s="203" t="str">
        <f>IFERROR(DATE(YEAR(Table35[[#This Row],[Lapsed Date]]),MONTH(Table35[[#This Row],[Lapsed Date]]),DAY(Table35[[#This Row],[Lapsed Date]])+20),"")</f>
        <v/>
      </c>
      <c r="Q123" s="203" t="str">
        <f>IFERROR(EDATE(Table35[[#This Row],[Lapsed Date]],12),"")</f>
        <v/>
      </c>
      <c r="R123" s="203" t="str">
        <f>IFERROR(EDATE(Table35[[#This Row],[Lapsed Date]],24),"")</f>
        <v/>
      </c>
      <c r="S123" s="205">
        <f ca="1">DATEDIF(Table35[[#This Row],[Paid to Date]],TODAY(), "M")</f>
        <v>1516</v>
      </c>
      <c r="T123" s="203">
        <f ca="1">Table35[[#This Row],[Number of Monthly premiums missing]]*(Table35[[#This Row],[Lapsed API]]/12)</f>
        <v>0</v>
      </c>
      <c r="U123" s="204">
        <f>(Table35[[#This Row],[Lapsed API]]/12)*3</f>
        <v>0</v>
      </c>
      <c r="V123" s="15"/>
      <c r="W123" s="19"/>
    </row>
    <row r="124" spans="1:23" ht="20.100000000000001" customHeight="1" x14ac:dyDescent="0.3">
      <c r="A124" s="20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03" t="str">
        <f>IF(ISBLANK(Table35[[#This Row],[Paid to Date]]),"",DATE(YEAR(Table35[[#This Row],[Paid to Date]]),MONTH(Table35[[#This Row],[Paid to Date]]),DAY(Table35[[#This Row],[Paid to Date]])+90))</f>
        <v/>
      </c>
      <c r="M124" s="15"/>
      <c r="N124" s="15"/>
      <c r="O124" s="15"/>
      <c r="P124" s="203" t="str">
        <f>IFERROR(DATE(YEAR(Table35[[#This Row],[Lapsed Date]]),MONTH(Table35[[#This Row],[Lapsed Date]]),DAY(Table35[[#This Row],[Lapsed Date]])+20),"")</f>
        <v/>
      </c>
      <c r="Q124" s="203" t="str">
        <f>IFERROR(EDATE(Table35[[#This Row],[Lapsed Date]],12),"")</f>
        <v/>
      </c>
      <c r="R124" s="203" t="str">
        <f>IFERROR(EDATE(Table35[[#This Row],[Lapsed Date]],24),"")</f>
        <v/>
      </c>
      <c r="S124" s="205">
        <f ca="1">DATEDIF(Table35[[#This Row],[Paid to Date]],TODAY(), "M")</f>
        <v>1516</v>
      </c>
      <c r="T124" s="203">
        <f ca="1">Table35[[#This Row],[Number of Monthly premiums missing]]*(Table35[[#This Row],[Lapsed API]]/12)</f>
        <v>0</v>
      </c>
      <c r="U124" s="204">
        <f>(Table35[[#This Row],[Lapsed API]]/12)*3</f>
        <v>0</v>
      </c>
      <c r="V124" s="15"/>
      <c r="W124" s="19"/>
    </row>
    <row r="125" spans="1:23" ht="20.100000000000001" customHeight="1" x14ac:dyDescent="0.3">
      <c r="A125" s="20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03" t="str">
        <f>IF(ISBLANK(Table35[[#This Row],[Paid to Date]]),"",DATE(YEAR(Table35[[#This Row],[Paid to Date]]),MONTH(Table35[[#This Row],[Paid to Date]]),DAY(Table35[[#This Row],[Paid to Date]])+90))</f>
        <v/>
      </c>
      <c r="M125" s="15"/>
      <c r="N125" s="15"/>
      <c r="O125" s="15"/>
      <c r="P125" s="203" t="str">
        <f>IFERROR(DATE(YEAR(Table35[[#This Row],[Lapsed Date]]),MONTH(Table35[[#This Row],[Lapsed Date]]),DAY(Table35[[#This Row],[Lapsed Date]])+20),"")</f>
        <v/>
      </c>
      <c r="Q125" s="203" t="str">
        <f>IFERROR(EDATE(Table35[[#This Row],[Lapsed Date]],12),"")</f>
        <v/>
      </c>
      <c r="R125" s="203" t="str">
        <f>IFERROR(EDATE(Table35[[#This Row],[Lapsed Date]],24),"")</f>
        <v/>
      </c>
      <c r="S125" s="205">
        <f ca="1">DATEDIF(Table35[[#This Row],[Paid to Date]],TODAY(), "M")</f>
        <v>1516</v>
      </c>
      <c r="T125" s="203">
        <f ca="1">Table35[[#This Row],[Number of Monthly premiums missing]]*(Table35[[#This Row],[Lapsed API]]/12)</f>
        <v>0</v>
      </c>
      <c r="U125" s="204">
        <f>(Table35[[#This Row],[Lapsed API]]/12)*3</f>
        <v>0</v>
      </c>
      <c r="V125" s="15"/>
      <c r="W125" s="19"/>
    </row>
    <row r="126" spans="1:23" ht="20.100000000000001" customHeight="1" x14ac:dyDescent="0.3">
      <c r="A126" s="20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03" t="str">
        <f>IF(ISBLANK(Table35[[#This Row],[Paid to Date]]),"",DATE(YEAR(Table35[[#This Row],[Paid to Date]]),MONTH(Table35[[#This Row],[Paid to Date]]),DAY(Table35[[#This Row],[Paid to Date]])+90))</f>
        <v/>
      </c>
      <c r="M126" s="15"/>
      <c r="N126" s="15"/>
      <c r="O126" s="15"/>
      <c r="P126" s="203" t="str">
        <f>IFERROR(DATE(YEAR(Table35[[#This Row],[Lapsed Date]]),MONTH(Table35[[#This Row],[Lapsed Date]]),DAY(Table35[[#This Row],[Lapsed Date]])+20),"")</f>
        <v/>
      </c>
      <c r="Q126" s="203" t="str">
        <f>IFERROR(EDATE(Table35[[#This Row],[Lapsed Date]],12),"")</f>
        <v/>
      </c>
      <c r="R126" s="203" t="str">
        <f>IFERROR(EDATE(Table35[[#This Row],[Lapsed Date]],24),"")</f>
        <v/>
      </c>
      <c r="S126" s="205">
        <f ca="1">DATEDIF(Table35[[#This Row],[Paid to Date]],TODAY(), "M")</f>
        <v>1516</v>
      </c>
      <c r="T126" s="203">
        <f ca="1">Table35[[#This Row],[Number of Monthly premiums missing]]*(Table35[[#This Row],[Lapsed API]]/12)</f>
        <v>0</v>
      </c>
      <c r="U126" s="204">
        <f>(Table35[[#This Row],[Lapsed API]]/12)*3</f>
        <v>0</v>
      </c>
      <c r="V126" s="15"/>
      <c r="W126" s="19"/>
    </row>
    <row r="127" spans="1:23" ht="20.100000000000001" customHeight="1" x14ac:dyDescent="0.3">
      <c r="A127" s="20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03" t="str">
        <f>IF(ISBLANK(Table35[[#This Row],[Paid to Date]]),"",DATE(YEAR(Table35[[#This Row],[Paid to Date]]),MONTH(Table35[[#This Row],[Paid to Date]]),DAY(Table35[[#This Row],[Paid to Date]])+90))</f>
        <v/>
      </c>
      <c r="M127" s="15"/>
      <c r="N127" s="15"/>
      <c r="O127" s="15"/>
      <c r="P127" s="203" t="str">
        <f>IFERROR(DATE(YEAR(Table35[[#This Row],[Lapsed Date]]),MONTH(Table35[[#This Row],[Lapsed Date]]),DAY(Table35[[#This Row],[Lapsed Date]])+20),"")</f>
        <v/>
      </c>
      <c r="Q127" s="203" t="str">
        <f>IFERROR(EDATE(Table35[[#This Row],[Lapsed Date]],12),"")</f>
        <v/>
      </c>
      <c r="R127" s="203" t="str">
        <f>IFERROR(EDATE(Table35[[#This Row],[Lapsed Date]],24),"")</f>
        <v/>
      </c>
      <c r="S127" s="205">
        <f ca="1">DATEDIF(Table35[[#This Row],[Paid to Date]],TODAY(), "M")</f>
        <v>1516</v>
      </c>
      <c r="T127" s="203">
        <f ca="1">Table35[[#This Row],[Number of Monthly premiums missing]]*(Table35[[#This Row],[Lapsed API]]/12)</f>
        <v>0</v>
      </c>
      <c r="U127" s="204">
        <f>(Table35[[#This Row],[Lapsed API]]/12)*3</f>
        <v>0</v>
      </c>
      <c r="V127" s="15"/>
      <c r="W127" s="19"/>
    </row>
    <row r="128" spans="1:23" ht="20.100000000000001" customHeight="1" x14ac:dyDescent="0.3">
      <c r="A128" s="20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03" t="str">
        <f>IF(ISBLANK(Table35[[#This Row],[Paid to Date]]),"",DATE(YEAR(Table35[[#This Row],[Paid to Date]]),MONTH(Table35[[#This Row],[Paid to Date]]),DAY(Table35[[#This Row],[Paid to Date]])+90))</f>
        <v/>
      </c>
      <c r="M128" s="15"/>
      <c r="N128" s="15"/>
      <c r="O128" s="15"/>
      <c r="P128" s="203" t="str">
        <f>IFERROR(DATE(YEAR(Table35[[#This Row],[Lapsed Date]]),MONTH(Table35[[#This Row],[Lapsed Date]]),DAY(Table35[[#This Row],[Lapsed Date]])+20),"")</f>
        <v/>
      </c>
      <c r="Q128" s="203" t="str">
        <f>IFERROR(EDATE(Table35[[#This Row],[Lapsed Date]],12),"")</f>
        <v/>
      </c>
      <c r="R128" s="203" t="str">
        <f>IFERROR(EDATE(Table35[[#This Row],[Lapsed Date]],24),"")</f>
        <v/>
      </c>
      <c r="S128" s="205">
        <f ca="1">DATEDIF(Table35[[#This Row],[Paid to Date]],TODAY(), "M")</f>
        <v>1516</v>
      </c>
      <c r="T128" s="203">
        <f ca="1">Table35[[#This Row],[Number of Monthly premiums missing]]*(Table35[[#This Row],[Lapsed API]]/12)</f>
        <v>0</v>
      </c>
      <c r="U128" s="204">
        <f>(Table35[[#This Row],[Lapsed API]]/12)*3</f>
        <v>0</v>
      </c>
      <c r="V128" s="15"/>
      <c r="W128" s="19"/>
    </row>
    <row r="129" spans="1:23" ht="20.100000000000001" customHeight="1" x14ac:dyDescent="0.3">
      <c r="A129" s="20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03" t="str">
        <f>IF(ISBLANK(Table35[[#This Row],[Paid to Date]]),"",DATE(YEAR(Table35[[#This Row],[Paid to Date]]),MONTH(Table35[[#This Row],[Paid to Date]]),DAY(Table35[[#This Row],[Paid to Date]])+90))</f>
        <v/>
      </c>
      <c r="M129" s="15"/>
      <c r="N129" s="15"/>
      <c r="O129" s="15"/>
      <c r="P129" s="203" t="str">
        <f>IFERROR(DATE(YEAR(Table35[[#This Row],[Lapsed Date]]),MONTH(Table35[[#This Row],[Lapsed Date]]),DAY(Table35[[#This Row],[Lapsed Date]])+20),"")</f>
        <v/>
      </c>
      <c r="Q129" s="203" t="str">
        <f>IFERROR(EDATE(Table35[[#This Row],[Lapsed Date]],12),"")</f>
        <v/>
      </c>
      <c r="R129" s="203" t="str">
        <f>IFERROR(EDATE(Table35[[#This Row],[Lapsed Date]],24),"")</f>
        <v/>
      </c>
      <c r="S129" s="205">
        <f ca="1">DATEDIF(Table35[[#This Row],[Paid to Date]],TODAY(), "M")</f>
        <v>1516</v>
      </c>
      <c r="T129" s="203">
        <f ca="1">Table35[[#This Row],[Number of Monthly premiums missing]]*(Table35[[#This Row],[Lapsed API]]/12)</f>
        <v>0</v>
      </c>
      <c r="U129" s="204">
        <f>(Table35[[#This Row],[Lapsed API]]/12)*3</f>
        <v>0</v>
      </c>
      <c r="V129" s="15"/>
      <c r="W129" s="19"/>
    </row>
    <row r="130" spans="1:23" ht="20.100000000000001" customHeight="1" x14ac:dyDescent="0.3">
      <c r="A130" s="20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03" t="str">
        <f>IF(ISBLANK(Table35[[#This Row],[Paid to Date]]),"",DATE(YEAR(Table35[[#This Row],[Paid to Date]]),MONTH(Table35[[#This Row],[Paid to Date]]),DAY(Table35[[#This Row],[Paid to Date]])+90))</f>
        <v/>
      </c>
      <c r="M130" s="15"/>
      <c r="N130" s="15"/>
      <c r="O130" s="15"/>
      <c r="P130" s="203" t="str">
        <f>IFERROR(DATE(YEAR(Table35[[#This Row],[Lapsed Date]]),MONTH(Table35[[#This Row],[Lapsed Date]]),DAY(Table35[[#This Row],[Lapsed Date]])+20),"")</f>
        <v/>
      </c>
      <c r="Q130" s="203" t="str">
        <f>IFERROR(EDATE(Table35[[#This Row],[Lapsed Date]],12),"")</f>
        <v/>
      </c>
      <c r="R130" s="203" t="str">
        <f>IFERROR(EDATE(Table35[[#This Row],[Lapsed Date]],24),"")</f>
        <v/>
      </c>
      <c r="S130" s="205">
        <f ca="1">DATEDIF(Table35[[#This Row],[Paid to Date]],TODAY(), "M")</f>
        <v>1516</v>
      </c>
      <c r="T130" s="203">
        <f ca="1">Table35[[#This Row],[Number of Monthly premiums missing]]*(Table35[[#This Row],[Lapsed API]]/12)</f>
        <v>0</v>
      </c>
      <c r="U130" s="204">
        <f>(Table35[[#This Row],[Lapsed API]]/12)*3</f>
        <v>0</v>
      </c>
      <c r="V130" s="15"/>
      <c r="W130" s="19"/>
    </row>
    <row r="131" spans="1:23" ht="20.100000000000001" customHeight="1" x14ac:dyDescent="0.3">
      <c r="A131" s="20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203" t="str">
        <f>IF(ISBLANK(Table35[[#This Row],[Paid to Date]]),"",DATE(YEAR(Table35[[#This Row],[Paid to Date]]),MONTH(Table35[[#This Row],[Paid to Date]]),DAY(Table35[[#This Row],[Paid to Date]])+90))</f>
        <v/>
      </c>
      <c r="M131" s="15"/>
      <c r="N131" s="15"/>
      <c r="O131" s="15"/>
      <c r="P131" s="203" t="str">
        <f>IFERROR(DATE(YEAR(Table35[[#This Row],[Lapsed Date]]),MONTH(Table35[[#This Row],[Lapsed Date]]),DAY(Table35[[#This Row],[Lapsed Date]])+20),"")</f>
        <v/>
      </c>
      <c r="Q131" s="203" t="str">
        <f>IFERROR(EDATE(Table35[[#This Row],[Lapsed Date]],12),"")</f>
        <v/>
      </c>
      <c r="R131" s="203" t="str">
        <f>IFERROR(EDATE(Table35[[#This Row],[Lapsed Date]],24),"")</f>
        <v/>
      </c>
      <c r="S131" s="205">
        <f ca="1">DATEDIF(Table35[[#This Row],[Paid to Date]],TODAY(), "M")</f>
        <v>1516</v>
      </c>
      <c r="T131" s="203">
        <f ca="1">Table35[[#This Row],[Number of Monthly premiums missing]]*(Table35[[#This Row],[Lapsed API]]/12)</f>
        <v>0</v>
      </c>
      <c r="U131" s="204">
        <f>(Table35[[#This Row],[Lapsed API]]/12)*3</f>
        <v>0</v>
      </c>
      <c r="V131" s="15"/>
      <c r="W131" s="19"/>
    </row>
    <row r="132" spans="1:23" ht="20.100000000000001" customHeight="1" x14ac:dyDescent="0.3">
      <c r="A132" s="20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203" t="str">
        <f>IF(ISBLANK(Table35[[#This Row],[Paid to Date]]),"",DATE(YEAR(Table35[[#This Row],[Paid to Date]]),MONTH(Table35[[#This Row],[Paid to Date]]),DAY(Table35[[#This Row],[Paid to Date]])+90))</f>
        <v/>
      </c>
      <c r="M132" s="15"/>
      <c r="N132" s="15"/>
      <c r="O132" s="15"/>
      <c r="P132" s="203" t="str">
        <f>IFERROR(DATE(YEAR(Table35[[#This Row],[Lapsed Date]]),MONTH(Table35[[#This Row],[Lapsed Date]]),DAY(Table35[[#This Row],[Lapsed Date]])+20),"")</f>
        <v/>
      </c>
      <c r="Q132" s="203" t="str">
        <f>IFERROR(EDATE(Table35[[#This Row],[Lapsed Date]],12),"")</f>
        <v/>
      </c>
      <c r="R132" s="203" t="str">
        <f>IFERROR(EDATE(Table35[[#This Row],[Lapsed Date]],24),"")</f>
        <v/>
      </c>
      <c r="S132" s="205">
        <f ca="1">DATEDIF(Table35[[#This Row],[Paid to Date]],TODAY(), "M")</f>
        <v>1516</v>
      </c>
      <c r="T132" s="203">
        <f ca="1">Table35[[#This Row],[Number of Monthly premiums missing]]*(Table35[[#This Row],[Lapsed API]]/12)</f>
        <v>0</v>
      </c>
      <c r="U132" s="204">
        <f>(Table35[[#This Row],[Lapsed API]]/12)*3</f>
        <v>0</v>
      </c>
      <c r="V132" s="15"/>
      <c r="W132" s="19"/>
    </row>
    <row r="133" spans="1:23" ht="20.100000000000001" customHeight="1" x14ac:dyDescent="0.3">
      <c r="A133" s="20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203" t="str">
        <f>IF(ISBLANK(Table35[[#This Row],[Paid to Date]]),"",DATE(YEAR(Table35[[#This Row],[Paid to Date]]),MONTH(Table35[[#This Row],[Paid to Date]]),DAY(Table35[[#This Row],[Paid to Date]])+90))</f>
        <v/>
      </c>
      <c r="M133" s="15"/>
      <c r="N133" s="15"/>
      <c r="O133" s="15"/>
      <c r="P133" s="203" t="str">
        <f>IFERROR(DATE(YEAR(Table35[[#This Row],[Lapsed Date]]),MONTH(Table35[[#This Row],[Lapsed Date]]),DAY(Table35[[#This Row],[Lapsed Date]])+20),"")</f>
        <v/>
      </c>
      <c r="Q133" s="203" t="str">
        <f>IFERROR(EDATE(Table35[[#This Row],[Lapsed Date]],12),"")</f>
        <v/>
      </c>
      <c r="R133" s="203" t="str">
        <f>IFERROR(EDATE(Table35[[#This Row],[Lapsed Date]],24),"")</f>
        <v/>
      </c>
      <c r="S133" s="205">
        <f ca="1">DATEDIF(Table35[[#This Row],[Paid to Date]],TODAY(), "M")</f>
        <v>1516</v>
      </c>
      <c r="T133" s="203">
        <f ca="1">Table35[[#This Row],[Number of Monthly premiums missing]]*(Table35[[#This Row],[Lapsed API]]/12)</f>
        <v>0</v>
      </c>
      <c r="U133" s="204">
        <f>(Table35[[#This Row],[Lapsed API]]/12)*3</f>
        <v>0</v>
      </c>
      <c r="V133" s="15"/>
      <c r="W133" s="19"/>
    </row>
    <row r="134" spans="1:23" ht="20.100000000000001" customHeight="1" x14ac:dyDescent="0.3">
      <c r="A134" s="20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203" t="str">
        <f>IF(ISBLANK(Table35[[#This Row],[Paid to Date]]),"",DATE(YEAR(Table35[[#This Row],[Paid to Date]]),MONTH(Table35[[#This Row],[Paid to Date]]),DAY(Table35[[#This Row],[Paid to Date]])+90))</f>
        <v/>
      </c>
      <c r="M134" s="15"/>
      <c r="N134" s="15"/>
      <c r="O134" s="15"/>
      <c r="P134" s="203" t="str">
        <f>IFERROR(DATE(YEAR(Table35[[#This Row],[Lapsed Date]]),MONTH(Table35[[#This Row],[Lapsed Date]]),DAY(Table35[[#This Row],[Lapsed Date]])+20),"")</f>
        <v/>
      </c>
      <c r="Q134" s="203" t="str">
        <f>IFERROR(EDATE(Table35[[#This Row],[Lapsed Date]],12),"")</f>
        <v/>
      </c>
      <c r="R134" s="203" t="str">
        <f>IFERROR(EDATE(Table35[[#This Row],[Lapsed Date]],24),"")</f>
        <v/>
      </c>
      <c r="S134" s="205">
        <f ca="1">DATEDIF(Table35[[#This Row],[Paid to Date]],TODAY(), "M")</f>
        <v>1516</v>
      </c>
      <c r="T134" s="203">
        <f ca="1">Table35[[#This Row],[Number of Monthly premiums missing]]*(Table35[[#This Row],[Lapsed API]]/12)</f>
        <v>0</v>
      </c>
      <c r="U134" s="204">
        <f>(Table35[[#This Row],[Lapsed API]]/12)*3</f>
        <v>0</v>
      </c>
      <c r="V134" s="15"/>
      <c r="W134" s="19"/>
    </row>
    <row r="135" spans="1:23" ht="20.100000000000001" customHeight="1" x14ac:dyDescent="0.3">
      <c r="A135" s="20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203" t="str">
        <f>IF(ISBLANK(Table35[[#This Row],[Paid to Date]]),"",DATE(YEAR(Table35[[#This Row],[Paid to Date]]),MONTH(Table35[[#This Row],[Paid to Date]]),DAY(Table35[[#This Row],[Paid to Date]])+90))</f>
        <v/>
      </c>
      <c r="M135" s="15"/>
      <c r="N135" s="15"/>
      <c r="O135" s="15"/>
      <c r="P135" s="203" t="str">
        <f>IFERROR(DATE(YEAR(Table35[[#This Row],[Lapsed Date]]),MONTH(Table35[[#This Row],[Lapsed Date]]),DAY(Table35[[#This Row],[Lapsed Date]])+20),"")</f>
        <v/>
      </c>
      <c r="Q135" s="203" t="str">
        <f>IFERROR(EDATE(Table35[[#This Row],[Lapsed Date]],12),"")</f>
        <v/>
      </c>
      <c r="R135" s="203" t="str">
        <f>IFERROR(EDATE(Table35[[#This Row],[Lapsed Date]],24),"")</f>
        <v/>
      </c>
      <c r="S135" s="205">
        <f ca="1">DATEDIF(Table35[[#This Row],[Paid to Date]],TODAY(), "M")</f>
        <v>1516</v>
      </c>
      <c r="T135" s="203">
        <f ca="1">Table35[[#This Row],[Number of Monthly premiums missing]]*(Table35[[#This Row],[Lapsed API]]/12)</f>
        <v>0</v>
      </c>
      <c r="U135" s="204">
        <f>(Table35[[#This Row],[Lapsed API]]/12)*3</f>
        <v>0</v>
      </c>
      <c r="V135" s="15"/>
      <c r="W135" s="19"/>
    </row>
    <row r="136" spans="1:23" ht="20.100000000000001" customHeight="1" x14ac:dyDescent="0.3">
      <c r="A136" s="20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203" t="str">
        <f>IF(ISBLANK(Table35[[#This Row],[Paid to Date]]),"",DATE(YEAR(Table35[[#This Row],[Paid to Date]]),MONTH(Table35[[#This Row],[Paid to Date]]),DAY(Table35[[#This Row],[Paid to Date]])+90))</f>
        <v/>
      </c>
      <c r="M136" s="15"/>
      <c r="N136" s="15"/>
      <c r="O136" s="15"/>
      <c r="P136" s="203" t="str">
        <f>IFERROR(DATE(YEAR(Table35[[#This Row],[Lapsed Date]]),MONTH(Table35[[#This Row],[Lapsed Date]]),DAY(Table35[[#This Row],[Lapsed Date]])+20),"")</f>
        <v/>
      </c>
      <c r="Q136" s="203" t="str">
        <f>IFERROR(EDATE(Table35[[#This Row],[Lapsed Date]],12),"")</f>
        <v/>
      </c>
      <c r="R136" s="203" t="str">
        <f>IFERROR(EDATE(Table35[[#This Row],[Lapsed Date]],24),"")</f>
        <v/>
      </c>
      <c r="S136" s="205">
        <f ca="1">DATEDIF(Table35[[#This Row],[Paid to Date]],TODAY(), "M")</f>
        <v>1516</v>
      </c>
      <c r="T136" s="203">
        <f ca="1">Table35[[#This Row],[Number of Monthly premiums missing]]*(Table35[[#This Row],[Lapsed API]]/12)</f>
        <v>0</v>
      </c>
      <c r="U136" s="204">
        <f>(Table35[[#This Row],[Lapsed API]]/12)*3</f>
        <v>0</v>
      </c>
      <c r="V136" s="15"/>
      <c r="W136" s="19"/>
    </row>
    <row r="137" spans="1:23" ht="20.100000000000001" customHeight="1" x14ac:dyDescent="0.3">
      <c r="A137" s="20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203" t="str">
        <f>IF(ISBLANK(Table35[[#This Row],[Paid to Date]]),"",DATE(YEAR(Table35[[#This Row],[Paid to Date]]),MONTH(Table35[[#This Row],[Paid to Date]]),DAY(Table35[[#This Row],[Paid to Date]])+90))</f>
        <v/>
      </c>
      <c r="M137" s="15"/>
      <c r="N137" s="15"/>
      <c r="O137" s="15"/>
      <c r="P137" s="203" t="str">
        <f>IFERROR(DATE(YEAR(Table35[[#This Row],[Lapsed Date]]),MONTH(Table35[[#This Row],[Lapsed Date]]),DAY(Table35[[#This Row],[Lapsed Date]])+20),"")</f>
        <v/>
      </c>
      <c r="Q137" s="203" t="str">
        <f>IFERROR(EDATE(Table35[[#This Row],[Lapsed Date]],12),"")</f>
        <v/>
      </c>
      <c r="R137" s="203" t="str">
        <f>IFERROR(EDATE(Table35[[#This Row],[Lapsed Date]],24),"")</f>
        <v/>
      </c>
      <c r="S137" s="205">
        <f ca="1">DATEDIF(Table35[[#This Row],[Paid to Date]],TODAY(), "M")</f>
        <v>1516</v>
      </c>
      <c r="T137" s="203">
        <f ca="1">Table35[[#This Row],[Number of Monthly premiums missing]]*(Table35[[#This Row],[Lapsed API]]/12)</f>
        <v>0</v>
      </c>
      <c r="U137" s="204">
        <f>(Table35[[#This Row],[Lapsed API]]/12)*3</f>
        <v>0</v>
      </c>
      <c r="V137" s="15"/>
      <c r="W137" s="19"/>
    </row>
    <row r="138" spans="1:23" ht="20.100000000000001" customHeight="1" x14ac:dyDescent="0.3">
      <c r="A138" s="20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203" t="str">
        <f>IF(ISBLANK(Table35[[#This Row],[Paid to Date]]),"",DATE(YEAR(Table35[[#This Row],[Paid to Date]]),MONTH(Table35[[#This Row],[Paid to Date]]),DAY(Table35[[#This Row],[Paid to Date]])+90))</f>
        <v/>
      </c>
      <c r="M138" s="15"/>
      <c r="N138" s="15"/>
      <c r="O138" s="15"/>
      <c r="P138" s="203" t="str">
        <f>IFERROR(DATE(YEAR(Table35[[#This Row],[Lapsed Date]]),MONTH(Table35[[#This Row],[Lapsed Date]]),DAY(Table35[[#This Row],[Lapsed Date]])+20),"")</f>
        <v/>
      </c>
      <c r="Q138" s="203" t="str">
        <f>IFERROR(EDATE(Table35[[#This Row],[Lapsed Date]],12),"")</f>
        <v/>
      </c>
      <c r="R138" s="203" t="str">
        <f>IFERROR(EDATE(Table35[[#This Row],[Lapsed Date]],24),"")</f>
        <v/>
      </c>
      <c r="S138" s="205">
        <f ca="1">DATEDIF(Table35[[#This Row],[Paid to Date]],TODAY(), "M")</f>
        <v>1516</v>
      </c>
      <c r="T138" s="203">
        <f ca="1">Table35[[#This Row],[Number of Monthly premiums missing]]*(Table35[[#This Row],[Lapsed API]]/12)</f>
        <v>0</v>
      </c>
      <c r="U138" s="204">
        <f>(Table35[[#This Row],[Lapsed API]]/12)*3</f>
        <v>0</v>
      </c>
      <c r="V138" s="15"/>
      <c r="W138" s="19"/>
    </row>
    <row r="139" spans="1:23" ht="20.100000000000001" customHeight="1" x14ac:dyDescent="0.3">
      <c r="A139" s="20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203" t="str">
        <f>IF(ISBLANK(Table35[[#This Row],[Paid to Date]]),"",DATE(YEAR(Table35[[#This Row],[Paid to Date]]),MONTH(Table35[[#This Row],[Paid to Date]]),DAY(Table35[[#This Row],[Paid to Date]])+90))</f>
        <v/>
      </c>
      <c r="M139" s="15"/>
      <c r="N139" s="15"/>
      <c r="O139" s="15"/>
      <c r="P139" s="203" t="str">
        <f>IFERROR(DATE(YEAR(Table35[[#This Row],[Lapsed Date]]),MONTH(Table35[[#This Row],[Lapsed Date]]),DAY(Table35[[#This Row],[Lapsed Date]])+20),"")</f>
        <v/>
      </c>
      <c r="Q139" s="203" t="str">
        <f>IFERROR(EDATE(Table35[[#This Row],[Lapsed Date]],12),"")</f>
        <v/>
      </c>
      <c r="R139" s="203" t="str">
        <f>IFERROR(EDATE(Table35[[#This Row],[Lapsed Date]],24),"")</f>
        <v/>
      </c>
      <c r="S139" s="205">
        <f ca="1">DATEDIF(Table35[[#This Row],[Paid to Date]],TODAY(), "M")</f>
        <v>1516</v>
      </c>
      <c r="T139" s="203">
        <f ca="1">Table35[[#This Row],[Number of Monthly premiums missing]]*(Table35[[#This Row],[Lapsed API]]/12)</f>
        <v>0</v>
      </c>
      <c r="U139" s="204">
        <f>(Table35[[#This Row],[Lapsed API]]/12)*3</f>
        <v>0</v>
      </c>
      <c r="V139" s="15"/>
      <c r="W139" s="19"/>
    </row>
    <row r="140" spans="1:23" ht="20.100000000000001" customHeight="1" x14ac:dyDescent="0.3">
      <c r="A140" s="20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203" t="str">
        <f>IF(ISBLANK(Table35[[#This Row],[Paid to Date]]),"",DATE(YEAR(Table35[[#This Row],[Paid to Date]]),MONTH(Table35[[#This Row],[Paid to Date]]),DAY(Table35[[#This Row],[Paid to Date]])+90))</f>
        <v/>
      </c>
      <c r="M140" s="15"/>
      <c r="N140" s="15"/>
      <c r="O140" s="15"/>
      <c r="P140" s="203" t="str">
        <f>IFERROR(DATE(YEAR(Table35[[#This Row],[Lapsed Date]]),MONTH(Table35[[#This Row],[Lapsed Date]]),DAY(Table35[[#This Row],[Lapsed Date]])+20),"")</f>
        <v/>
      </c>
      <c r="Q140" s="203" t="str">
        <f>IFERROR(EDATE(Table35[[#This Row],[Lapsed Date]],12),"")</f>
        <v/>
      </c>
      <c r="R140" s="203" t="str">
        <f>IFERROR(EDATE(Table35[[#This Row],[Lapsed Date]],24),"")</f>
        <v/>
      </c>
      <c r="S140" s="205">
        <f ca="1">DATEDIF(Table35[[#This Row],[Paid to Date]],TODAY(), "M")</f>
        <v>1516</v>
      </c>
      <c r="T140" s="203">
        <f ca="1">Table35[[#This Row],[Number of Monthly premiums missing]]*(Table35[[#This Row],[Lapsed API]]/12)</f>
        <v>0</v>
      </c>
      <c r="U140" s="204">
        <f>(Table35[[#This Row],[Lapsed API]]/12)*3</f>
        <v>0</v>
      </c>
      <c r="V140" s="15"/>
      <c r="W140" s="19"/>
    </row>
    <row r="141" spans="1:23" ht="20.100000000000001" customHeight="1" x14ac:dyDescent="0.3">
      <c r="A141" s="20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203" t="str">
        <f>IF(ISBLANK(Table35[[#This Row],[Paid to Date]]),"",DATE(YEAR(Table35[[#This Row],[Paid to Date]]),MONTH(Table35[[#This Row],[Paid to Date]]),DAY(Table35[[#This Row],[Paid to Date]])+90))</f>
        <v/>
      </c>
      <c r="M141" s="15"/>
      <c r="N141" s="15"/>
      <c r="O141" s="15"/>
      <c r="P141" s="203" t="str">
        <f>IFERROR(DATE(YEAR(Table35[[#This Row],[Lapsed Date]]),MONTH(Table35[[#This Row],[Lapsed Date]]),DAY(Table35[[#This Row],[Lapsed Date]])+20),"")</f>
        <v/>
      </c>
      <c r="Q141" s="203" t="str">
        <f>IFERROR(EDATE(Table35[[#This Row],[Lapsed Date]],12),"")</f>
        <v/>
      </c>
      <c r="R141" s="203" t="str">
        <f>IFERROR(EDATE(Table35[[#This Row],[Lapsed Date]],24),"")</f>
        <v/>
      </c>
      <c r="S141" s="205">
        <f ca="1">DATEDIF(Table35[[#This Row],[Paid to Date]],TODAY(), "M")</f>
        <v>1516</v>
      </c>
      <c r="T141" s="203">
        <f ca="1">Table35[[#This Row],[Number of Monthly premiums missing]]*(Table35[[#This Row],[Lapsed API]]/12)</f>
        <v>0</v>
      </c>
      <c r="U141" s="204">
        <f>(Table35[[#This Row],[Lapsed API]]/12)*3</f>
        <v>0</v>
      </c>
      <c r="V141" s="15"/>
      <c r="W141" s="19"/>
    </row>
    <row r="142" spans="1:23" ht="20.100000000000001" customHeight="1" x14ac:dyDescent="0.3">
      <c r="A142" s="20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203" t="str">
        <f>IF(ISBLANK(Table35[[#This Row],[Paid to Date]]),"",DATE(YEAR(Table35[[#This Row],[Paid to Date]]),MONTH(Table35[[#This Row],[Paid to Date]]),DAY(Table35[[#This Row],[Paid to Date]])+90))</f>
        <v/>
      </c>
      <c r="M142" s="15"/>
      <c r="N142" s="15"/>
      <c r="O142" s="15"/>
      <c r="P142" s="203" t="str">
        <f>IFERROR(DATE(YEAR(Table35[[#This Row],[Lapsed Date]]),MONTH(Table35[[#This Row],[Lapsed Date]]),DAY(Table35[[#This Row],[Lapsed Date]])+20),"")</f>
        <v/>
      </c>
      <c r="Q142" s="203" t="str">
        <f>IFERROR(EDATE(Table35[[#This Row],[Lapsed Date]],12),"")</f>
        <v/>
      </c>
      <c r="R142" s="203" t="str">
        <f>IFERROR(EDATE(Table35[[#This Row],[Lapsed Date]],24),"")</f>
        <v/>
      </c>
      <c r="S142" s="205">
        <f ca="1">DATEDIF(Table35[[#This Row],[Paid to Date]],TODAY(), "M")</f>
        <v>1516</v>
      </c>
      <c r="T142" s="203">
        <f ca="1">Table35[[#This Row],[Number of Monthly premiums missing]]*(Table35[[#This Row],[Lapsed API]]/12)</f>
        <v>0</v>
      </c>
      <c r="U142" s="204">
        <f>(Table35[[#This Row],[Lapsed API]]/12)*3</f>
        <v>0</v>
      </c>
      <c r="V142" s="15"/>
      <c r="W142" s="19"/>
    </row>
    <row r="143" spans="1:23" ht="20.100000000000001" customHeight="1" x14ac:dyDescent="0.3">
      <c r="A143" s="20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203" t="str">
        <f>IF(ISBLANK(Table35[[#This Row],[Paid to Date]]),"",DATE(YEAR(Table35[[#This Row],[Paid to Date]]),MONTH(Table35[[#This Row],[Paid to Date]]),DAY(Table35[[#This Row],[Paid to Date]])+90))</f>
        <v/>
      </c>
      <c r="M143" s="15"/>
      <c r="N143" s="15"/>
      <c r="O143" s="15"/>
      <c r="P143" s="203" t="str">
        <f>IFERROR(DATE(YEAR(Table35[[#This Row],[Lapsed Date]]),MONTH(Table35[[#This Row],[Lapsed Date]]),DAY(Table35[[#This Row],[Lapsed Date]])+20),"")</f>
        <v/>
      </c>
      <c r="Q143" s="203" t="str">
        <f>IFERROR(EDATE(Table35[[#This Row],[Lapsed Date]],12),"")</f>
        <v/>
      </c>
      <c r="R143" s="203" t="str">
        <f>IFERROR(EDATE(Table35[[#This Row],[Lapsed Date]],24),"")</f>
        <v/>
      </c>
      <c r="S143" s="205">
        <f ca="1">DATEDIF(Table35[[#This Row],[Paid to Date]],TODAY(), "M")</f>
        <v>1516</v>
      </c>
      <c r="T143" s="203">
        <f ca="1">Table35[[#This Row],[Number of Monthly premiums missing]]*(Table35[[#This Row],[Lapsed API]]/12)</f>
        <v>0</v>
      </c>
      <c r="U143" s="204">
        <f>(Table35[[#This Row],[Lapsed API]]/12)*3</f>
        <v>0</v>
      </c>
      <c r="V143" s="15"/>
      <c r="W143" s="19"/>
    </row>
    <row r="144" spans="1:23" ht="20.100000000000001" customHeight="1" x14ac:dyDescent="0.3">
      <c r="A144" s="20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203" t="str">
        <f>IF(ISBLANK(Table35[[#This Row],[Paid to Date]]),"",DATE(YEAR(Table35[[#This Row],[Paid to Date]]),MONTH(Table35[[#This Row],[Paid to Date]]),DAY(Table35[[#This Row],[Paid to Date]])+90))</f>
        <v/>
      </c>
      <c r="M144" s="15"/>
      <c r="N144" s="15"/>
      <c r="O144" s="15"/>
      <c r="P144" s="203" t="str">
        <f>IFERROR(DATE(YEAR(Table35[[#This Row],[Lapsed Date]]),MONTH(Table35[[#This Row],[Lapsed Date]]),DAY(Table35[[#This Row],[Lapsed Date]])+20),"")</f>
        <v/>
      </c>
      <c r="Q144" s="203" t="str">
        <f>IFERROR(EDATE(Table35[[#This Row],[Lapsed Date]],12),"")</f>
        <v/>
      </c>
      <c r="R144" s="203" t="str">
        <f>IFERROR(EDATE(Table35[[#This Row],[Lapsed Date]],24),"")</f>
        <v/>
      </c>
      <c r="S144" s="205">
        <f ca="1">DATEDIF(Table35[[#This Row],[Paid to Date]],TODAY(), "M")</f>
        <v>1516</v>
      </c>
      <c r="T144" s="203">
        <f ca="1">Table35[[#This Row],[Number of Monthly premiums missing]]*(Table35[[#This Row],[Lapsed API]]/12)</f>
        <v>0</v>
      </c>
      <c r="U144" s="204">
        <f>(Table35[[#This Row],[Lapsed API]]/12)*3</f>
        <v>0</v>
      </c>
      <c r="V144" s="15"/>
      <c r="W144" s="19"/>
    </row>
    <row r="145" spans="1:23" ht="20.100000000000001" customHeight="1" x14ac:dyDescent="0.3">
      <c r="A145" s="20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203" t="str">
        <f>IF(ISBLANK(Table35[[#This Row],[Paid to Date]]),"",DATE(YEAR(Table35[[#This Row],[Paid to Date]]),MONTH(Table35[[#This Row],[Paid to Date]]),DAY(Table35[[#This Row],[Paid to Date]])+90))</f>
        <v/>
      </c>
      <c r="M145" s="15"/>
      <c r="N145" s="15"/>
      <c r="O145" s="15"/>
      <c r="P145" s="203" t="str">
        <f>IFERROR(DATE(YEAR(Table35[[#This Row],[Lapsed Date]]),MONTH(Table35[[#This Row],[Lapsed Date]]),DAY(Table35[[#This Row],[Lapsed Date]])+20),"")</f>
        <v/>
      </c>
      <c r="Q145" s="203" t="str">
        <f>IFERROR(EDATE(Table35[[#This Row],[Lapsed Date]],12),"")</f>
        <v/>
      </c>
      <c r="R145" s="203" t="str">
        <f>IFERROR(EDATE(Table35[[#This Row],[Lapsed Date]],24),"")</f>
        <v/>
      </c>
      <c r="S145" s="205">
        <f ca="1">DATEDIF(Table35[[#This Row],[Paid to Date]],TODAY(), "M")</f>
        <v>1516</v>
      </c>
      <c r="T145" s="203">
        <f ca="1">Table35[[#This Row],[Number of Monthly premiums missing]]*(Table35[[#This Row],[Lapsed API]]/12)</f>
        <v>0</v>
      </c>
      <c r="U145" s="204">
        <f>(Table35[[#This Row],[Lapsed API]]/12)*3</f>
        <v>0</v>
      </c>
      <c r="V145" s="15"/>
      <c r="W145" s="19"/>
    </row>
    <row r="146" spans="1:23" ht="20.100000000000001" customHeight="1" x14ac:dyDescent="0.3">
      <c r="A146" s="20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203" t="str">
        <f>IF(ISBLANK(Table35[[#This Row],[Paid to Date]]),"",DATE(YEAR(Table35[[#This Row],[Paid to Date]]),MONTH(Table35[[#This Row],[Paid to Date]]),DAY(Table35[[#This Row],[Paid to Date]])+90))</f>
        <v/>
      </c>
      <c r="M146" s="15"/>
      <c r="N146" s="15"/>
      <c r="O146" s="15"/>
      <c r="P146" s="203" t="str">
        <f>IFERROR(DATE(YEAR(Table35[[#This Row],[Lapsed Date]]),MONTH(Table35[[#This Row],[Lapsed Date]]),DAY(Table35[[#This Row],[Lapsed Date]])+20),"")</f>
        <v/>
      </c>
      <c r="Q146" s="203" t="str">
        <f>IFERROR(EDATE(Table35[[#This Row],[Lapsed Date]],12),"")</f>
        <v/>
      </c>
      <c r="R146" s="203" t="str">
        <f>IFERROR(EDATE(Table35[[#This Row],[Lapsed Date]],24),"")</f>
        <v/>
      </c>
      <c r="S146" s="205">
        <f ca="1">DATEDIF(Table35[[#This Row],[Paid to Date]],TODAY(), "M")</f>
        <v>1516</v>
      </c>
      <c r="T146" s="203">
        <f ca="1">Table35[[#This Row],[Number of Monthly premiums missing]]*(Table35[[#This Row],[Lapsed API]]/12)</f>
        <v>0</v>
      </c>
      <c r="U146" s="204">
        <f>(Table35[[#This Row],[Lapsed API]]/12)*3</f>
        <v>0</v>
      </c>
      <c r="V146" s="15"/>
      <c r="W146" s="19"/>
    </row>
    <row r="147" spans="1:23" ht="20.100000000000001" customHeight="1" x14ac:dyDescent="0.3">
      <c r="A147" s="20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203" t="str">
        <f>IF(ISBLANK(Table35[[#This Row],[Paid to Date]]),"",DATE(YEAR(Table35[[#This Row],[Paid to Date]]),MONTH(Table35[[#This Row],[Paid to Date]]),DAY(Table35[[#This Row],[Paid to Date]])+90))</f>
        <v/>
      </c>
      <c r="M147" s="15"/>
      <c r="N147" s="15"/>
      <c r="O147" s="15"/>
      <c r="P147" s="203" t="str">
        <f>IFERROR(DATE(YEAR(Table35[[#This Row],[Lapsed Date]]),MONTH(Table35[[#This Row],[Lapsed Date]]),DAY(Table35[[#This Row],[Lapsed Date]])+20),"")</f>
        <v/>
      </c>
      <c r="Q147" s="203" t="str">
        <f>IFERROR(EDATE(Table35[[#This Row],[Lapsed Date]],12),"")</f>
        <v/>
      </c>
      <c r="R147" s="203" t="str">
        <f>IFERROR(EDATE(Table35[[#This Row],[Lapsed Date]],24),"")</f>
        <v/>
      </c>
      <c r="S147" s="205">
        <f ca="1">DATEDIF(Table35[[#This Row],[Paid to Date]],TODAY(), "M")</f>
        <v>1516</v>
      </c>
      <c r="T147" s="203">
        <f ca="1">Table35[[#This Row],[Number of Monthly premiums missing]]*(Table35[[#This Row],[Lapsed API]]/12)</f>
        <v>0</v>
      </c>
      <c r="U147" s="204">
        <f>(Table35[[#This Row],[Lapsed API]]/12)*3</f>
        <v>0</v>
      </c>
      <c r="V147" s="15"/>
      <c r="W147" s="19"/>
    </row>
    <row r="148" spans="1:23" ht="20.100000000000001" customHeight="1" x14ac:dyDescent="0.3">
      <c r="A148" s="20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203" t="str">
        <f>IF(ISBLANK(Table35[[#This Row],[Paid to Date]]),"",DATE(YEAR(Table35[[#This Row],[Paid to Date]]),MONTH(Table35[[#This Row],[Paid to Date]]),DAY(Table35[[#This Row],[Paid to Date]])+90))</f>
        <v/>
      </c>
      <c r="M148" s="15"/>
      <c r="N148" s="15"/>
      <c r="O148" s="15"/>
      <c r="P148" s="203" t="str">
        <f>IFERROR(DATE(YEAR(Table35[[#This Row],[Lapsed Date]]),MONTH(Table35[[#This Row],[Lapsed Date]]),DAY(Table35[[#This Row],[Lapsed Date]])+20),"")</f>
        <v/>
      </c>
      <c r="Q148" s="203" t="str">
        <f>IFERROR(EDATE(Table35[[#This Row],[Lapsed Date]],12),"")</f>
        <v/>
      </c>
      <c r="R148" s="203" t="str">
        <f>IFERROR(EDATE(Table35[[#This Row],[Lapsed Date]],24),"")</f>
        <v/>
      </c>
      <c r="S148" s="205">
        <f ca="1">DATEDIF(Table35[[#This Row],[Paid to Date]],TODAY(), "M")</f>
        <v>1516</v>
      </c>
      <c r="T148" s="203">
        <f ca="1">Table35[[#This Row],[Number of Monthly premiums missing]]*(Table35[[#This Row],[Lapsed API]]/12)</f>
        <v>0</v>
      </c>
      <c r="U148" s="204">
        <f>(Table35[[#This Row],[Lapsed API]]/12)*3</f>
        <v>0</v>
      </c>
      <c r="V148" s="15"/>
      <c r="W148" s="19"/>
    </row>
    <row r="149" spans="1:23" ht="20.100000000000001" customHeight="1" x14ac:dyDescent="0.3">
      <c r="A149" s="20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203" t="str">
        <f>IF(ISBLANK(Table35[[#This Row],[Paid to Date]]),"",DATE(YEAR(Table35[[#This Row],[Paid to Date]]),MONTH(Table35[[#This Row],[Paid to Date]]),DAY(Table35[[#This Row],[Paid to Date]])+90))</f>
        <v/>
      </c>
      <c r="M149" s="15"/>
      <c r="N149" s="15"/>
      <c r="O149" s="15"/>
      <c r="P149" s="203" t="str">
        <f>IFERROR(DATE(YEAR(Table35[[#This Row],[Lapsed Date]]),MONTH(Table35[[#This Row],[Lapsed Date]]),DAY(Table35[[#This Row],[Lapsed Date]])+20),"")</f>
        <v/>
      </c>
      <c r="Q149" s="203" t="str">
        <f>IFERROR(EDATE(Table35[[#This Row],[Lapsed Date]],12),"")</f>
        <v/>
      </c>
      <c r="R149" s="203" t="str">
        <f>IFERROR(EDATE(Table35[[#This Row],[Lapsed Date]],24),"")</f>
        <v/>
      </c>
      <c r="S149" s="205">
        <f ca="1">DATEDIF(Table35[[#This Row],[Paid to Date]],TODAY(), "M")</f>
        <v>1516</v>
      </c>
      <c r="T149" s="203">
        <f ca="1">Table35[[#This Row],[Number of Monthly premiums missing]]*(Table35[[#This Row],[Lapsed API]]/12)</f>
        <v>0</v>
      </c>
      <c r="U149" s="204">
        <f>(Table35[[#This Row],[Lapsed API]]/12)*3</f>
        <v>0</v>
      </c>
      <c r="V149" s="15"/>
      <c r="W149" s="19"/>
    </row>
    <row r="150" spans="1:23" ht="20.100000000000001" customHeight="1" x14ac:dyDescent="0.3">
      <c r="A150" s="20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203" t="str">
        <f>IF(ISBLANK(Table35[[#This Row],[Paid to Date]]),"",DATE(YEAR(Table35[[#This Row],[Paid to Date]]),MONTH(Table35[[#This Row],[Paid to Date]]),DAY(Table35[[#This Row],[Paid to Date]])+90))</f>
        <v/>
      </c>
      <c r="M150" s="15"/>
      <c r="N150" s="15"/>
      <c r="O150" s="15"/>
      <c r="P150" s="203" t="str">
        <f>IFERROR(DATE(YEAR(Table35[[#This Row],[Lapsed Date]]),MONTH(Table35[[#This Row],[Lapsed Date]]),DAY(Table35[[#This Row],[Lapsed Date]])+20),"")</f>
        <v/>
      </c>
      <c r="Q150" s="203" t="str">
        <f>IFERROR(EDATE(Table35[[#This Row],[Lapsed Date]],12),"")</f>
        <v/>
      </c>
      <c r="R150" s="203" t="str">
        <f>IFERROR(EDATE(Table35[[#This Row],[Lapsed Date]],24),"")</f>
        <v/>
      </c>
      <c r="S150" s="205">
        <f ca="1">DATEDIF(Table35[[#This Row],[Paid to Date]],TODAY(), "M")</f>
        <v>1516</v>
      </c>
      <c r="T150" s="203">
        <f ca="1">Table35[[#This Row],[Number of Monthly premiums missing]]*(Table35[[#This Row],[Lapsed API]]/12)</f>
        <v>0</v>
      </c>
      <c r="U150" s="204">
        <f>(Table35[[#This Row],[Lapsed API]]/12)*3</f>
        <v>0</v>
      </c>
      <c r="V150" s="15"/>
      <c r="W150" s="19"/>
    </row>
    <row r="151" spans="1:23" ht="20.100000000000001" customHeight="1" x14ac:dyDescent="0.3">
      <c r="A151" s="20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203" t="str">
        <f>IF(ISBLANK(Table35[[#This Row],[Paid to Date]]),"",DATE(YEAR(Table35[[#This Row],[Paid to Date]]),MONTH(Table35[[#This Row],[Paid to Date]]),DAY(Table35[[#This Row],[Paid to Date]])+90))</f>
        <v/>
      </c>
      <c r="M151" s="15"/>
      <c r="N151" s="15"/>
      <c r="O151" s="15"/>
      <c r="P151" s="203" t="str">
        <f>IFERROR(DATE(YEAR(Table35[[#This Row],[Lapsed Date]]),MONTH(Table35[[#This Row],[Lapsed Date]]),DAY(Table35[[#This Row],[Lapsed Date]])+20),"")</f>
        <v/>
      </c>
      <c r="Q151" s="203" t="str">
        <f>IFERROR(EDATE(Table35[[#This Row],[Lapsed Date]],12),"")</f>
        <v/>
      </c>
      <c r="R151" s="203" t="str">
        <f>IFERROR(EDATE(Table35[[#This Row],[Lapsed Date]],24),"")</f>
        <v/>
      </c>
      <c r="S151" s="205">
        <f ca="1">DATEDIF(Table35[[#This Row],[Paid to Date]],TODAY(), "M")</f>
        <v>1516</v>
      </c>
      <c r="T151" s="203">
        <f ca="1">Table35[[#This Row],[Number of Monthly premiums missing]]*(Table35[[#This Row],[Lapsed API]]/12)</f>
        <v>0</v>
      </c>
      <c r="U151" s="204">
        <f>(Table35[[#This Row],[Lapsed API]]/12)*3</f>
        <v>0</v>
      </c>
      <c r="V151" s="15"/>
      <c r="W151" s="19"/>
    </row>
    <row r="152" spans="1:23" ht="20.100000000000001" customHeight="1" x14ac:dyDescent="0.3">
      <c r="A152" s="20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203" t="str">
        <f>IF(ISBLANK(Table35[[#This Row],[Paid to Date]]),"",DATE(YEAR(Table35[[#This Row],[Paid to Date]]),MONTH(Table35[[#This Row],[Paid to Date]]),DAY(Table35[[#This Row],[Paid to Date]])+90))</f>
        <v/>
      </c>
      <c r="M152" s="15"/>
      <c r="N152" s="15"/>
      <c r="O152" s="15"/>
      <c r="P152" s="203" t="str">
        <f>IFERROR(DATE(YEAR(Table35[[#This Row],[Lapsed Date]]),MONTH(Table35[[#This Row],[Lapsed Date]]),DAY(Table35[[#This Row],[Lapsed Date]])+20),"")</f>
        <v/>
      </c>
      <c r="Q152" s="203" t="str">
        <f>IFERROR(EDATE(Table35[[#This Row],[Lapsed Date]],12),"")</f>
        <v/>
      </c>
      <c r="R152" s="203" t="str">
        <f>IFERROR(EDATE(Table35[[#This Row],[Lapsed Date]],24),"")</f>
        <v/>
      </c>
      <c r="S152" s="205">
        <f ca="1">DATEDIF(Table35[[#This Row],[Paid to Date]],TODAY(), "M")</f>
        <v>1516</v>
      </c>
      <c r="T152" s="203">
        <f ca="1">Table35[[#This Row],[Number of Monthly premiums missing]]*(Table35[[#This Row],[Lapsed API]]/12)</f>
        <v>0</v>
      </c>
      <c r="U152" s="204">
        <f>(Table35[[#This Row],[Lapsed API]]/12)*3</f>
        <v>0</v>
      </c>
      <c r="V152" s="15"/>
      <c r="W152" s="19"/>
    </row>
    <row r="153" spans="1:23" ht="20.100000000000001" customHeight="1" x14ac:dyDescent="0.3">
      <c r="A153" s="20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203" t="str">
        <f>IF(ISBLANK(Table35[[#This Row],[Paid to Date]]),"",DATE(YEAR(Table35[[#This Row],[Paid to Date]]),MONTH(Table35[[#This Row],[Paid to Date]]),DAY(Table35[[#This Row],[Paid to Date]])+90))</f>
        <v/>
      </c>
      <c r="M153" s="15"/>
      <c r="N153" s="15"/>
      <c r="O153" s="15"/>
      <c r="P153" s="203" t="str">
        <f>IFERROR(DATE(YEAR(Table35[[#This Row],[Lapsed Date]]),MONTH(Table35[[#This Row],[Lapsed Date]]),DAY(Table35[[#This Row],[Lapsed Date]])+20),"")</f>
        <v/>
      </c>
      <c r="Q153" s="203" t="str">
        <f>IFERROR(EDATE(Table35[[#This Row],[Lapsed Date]],12),"")</f>
        <v/>
      </c>
      <c r="R153" s="203" t="str">
        <f>IFERROR(EDATE(Table35[[#This Row],[Lapsed Date]],24),"")</f>
        <v/>
      </c>
      <c r="S153" s="205">
        <f ca="1">DATEDIF(Table35[[#This Row],[Paid to Date]],TODAY(), "M")</f>
        <v>1516</v>
      </c>
      <c r="T153" s="203">
        <f ca="1">Table35[[#This Row],[Number of Monthly premiums missing]]*(Table35[[#This Row],[Lapsed API]]/12)</f>
        <v>0</v>
      </c>
      <c r="U153" s="204">
        <f>(Table35[[#This Row],[Lapsed API]]/12)*3</f>
        <v>0</v>
      </c>
      <c r="V153" s="15"/>
      <c r="W153" s="19"/>
    </row>
    <row r="154" spans="1:23" ht="20.100000000000001" customHeight="1" x14ac:dyDescent="0.3">
      <c r="A154" s="20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203" t="str">
        <f>IF(ISBLANK(Table35[[#This Row],[Paid to Date]]),"",DATE(YEAR(Table35[[#This Row],[Paid to Date]]),MONTH(Table35[[#This Row],[Paid to Date]]),DAY(Table35[[#This Row],[Paid to Date]])+90))</f>
        <v/>
      </c>
      <c r="M154" s="15"/>
      <c r="N154" s="15"/>
      <c r="O154" s="15"/>
      <c r="P154" s="203" t="str">
        <f>IFERROR(DATE(YEAR(Table35[[#This Row],[Lapsed Date]]),MONTH(Table35[[#This Row],[Lapsed Date]]),DAY(Table35[[#This Row],[Lapsed Date]])+20),"")</f>
        <v/>
      </c>
      <c r="Q154" s="203" t="str">
        <f>IFERROR(EDATE(Table35[[#This Row],[Lapsed Date]],12),"")</f>
        <v/>
      </c>
      <c r="R154" s="203" t="str">
        <f>IFERROR(EDATE(Table35[[#This Row],[Lapsed Date]],24),"")</f>
        <v/>
      </c>
      <c r="S154" s="205">
        <f ca="1">DATEDIF(Table35[[#This Row],[Paid to Date]],TODAY(), "M")</f>
        <v>1516</v>
      </c>
      <c r="T154" s="203">
        <f ca="1">Table35[[#This Row],[Number of Monthly premiums missing]]*(Table35[[#This Row],[Lapsed API]]/12)</f>
        <v>0</v>
      </c>
      <c r="U154" s="204">
        <f>(Table35[[#This Row],[Lapsed API]]/12)*3</f>
        <v>0</v>
      </c>
      <c r="V154" s="15"/>
      <c r="W154" s="19"/>
    </row>
    <row r="155" spans="1:23" ht="20.100000000000001" customHeight="1" x14ac:dyDescent="0.3">
      <c r="A155" s="20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203" t="str">
        <f>IF(ISBLANK(Table35[[#This Row],[Paid to Date]]),"",DATE(YEAR(Table35[[#This Row],[Paid to Date]]),MONTH(Table35[[#This Row],[Paid to Date]]),DAY(Table35[[#This Row],[Paid to Date]])+90))</f>
        <v/>
      </c>
      <c r="M155" s="15"/>
      <c r="N155" s="15"/>
      <c r="O155" s="15"/>
      <c r="P155" s="203" t="str">
        <f>IFERROR(DATE(YEAR(Table35[[#This Row],[Lapsed Date]]),MONTH(Table35[[#This Row],[Lapsed Date]]),DAY(Table35[[#This Row],[Lapsed Date]])+20),"")</f>
        <v/>
      </c>
      <c r="Q155" s="203" t="str">
        <f>IFERROR(EDATE(Table35[[#This Row],[Lapsed Date]],12),"")</f>
        <v/>
      </c>
      <c r="R155" s="203" t="str">
        <f>IFERROR(EDATE(Table35[[#This Row],[Lapsed Date]],24),"")</f>
        <v/>
      </c>
      <c r="S155" s="205">
        <f ca="1">DATEDIF(Table35[[#This Row],[Paid to Date]],TODAY(), "M")</f>
        <v>1516</v>
      </c>
      <c r="T155" s="203">
        <f ca="1">Table35[[#This Row],[Number of Monthly premiums missing]]*(Table35[[#This Row],[Lapsed API]]/12)</f>
        <v>0</v>
      </c>
      <c r="U155" s="204">
        <f>(Table35[[#This Row],[Lapsed API]]/12)*3</f>
        <v>0</v>
      </c>
      <c r="V155" s="15"/>
      <c r="W155" s="19"/>
    </row>
    <row r="156" spans="1:23" ht="20.100000000000001" customHeight="1" x14ac:dyDescent="0.3">
      <c r="A156" s="20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203" t="str">
        <f>IF(ISBLANK(Table35[[#This Row],[Paid to Date]]),"",DATE(YEAR(Table35[[#This Row],[Paid to Date]]),MONTH(Table35[[#This Row],[Paid to Date]]),DAY(Table35[[#This Row],[Paid to Date]])+90))</f>
        <v/>
      </c>
      <c r="M156" s="15"/>
      <c r="N156" s="15"/>
      <c r="O156" s="15"/>
      <c r="P156" s="203" t="str">
        <f>IFERROR(DATE(YEAR(Table35[[#This Row],[Lapsed Date]]),MONTH(Table35[[#This Row],[Lapsed Date]]),DAY(Table35[[#This Row],[Lapsed Date]])+20),"")</f>
        <v/>
      </c>
      <c r="Q156" s="203" t="str">
        <f>IFERROR(EDATE(Table35[[#This Row],[Lapsed Date]],12),"")</f>
        <v/>
      </c>
      <c r="R156" s="203" t="str">
        <f>IFERROR(EDATE(Table35[[#This Row],[Lapsed Date]],24),"")</f>
        <v/>
      </c>
      <c r="S156" s="205">
        <f ca="1">DATEDIF(Table35[[#This Row],[Paid to Date]],TODAY(), "M")</f>
        <v>1516</v>
      </c>
      <c r="T156" s="203">
        <f ca="1">Table35[[#This Row],[Number of Monthly premiums missing]]*(Table35[[#This Row],[Lapsed API]]/12)</f>
        <v>0</v>
      </c>
      <c r="U156" s="204">
        <f>(Table35[[#This Row],[Lapsed API]]/12)*3</f>
        <v>0</v>
      </c>
      <c r="V156" s="15"/>
      <c r="W156" s="19"/>
    </row>
    <row r="157" spans="1:23" ht="20.100000000000001" customHeight="1" x14ac:dyDescent="0.3">
      <c r="A157" s="20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203" t="str">
        <f>IF(ISBLANK(Table35[[#This Row],[Paid to Date]]),"",DATE(YEAR(Table35[[#This Row],[Paid to Date]]),MONTH(Table35[[#This Row],[Paid to Date]]),DAY(Table35[[#This Row],[Paid to Date]])+90))</f>
        <v/>
      </c>
      <c r="M157" s="15"/>
      <c r="N157" s="15"/>
      <c r="O157" s="15"/>
      <c r="P157" s="203" t="str">
        <f>IFERROR(DATE(YEAR(Table35[[#This Row],[Lapsed Date]]),MONTH(Table35[[#This Row],[Lapsed Date]]),DAY(Table35[[#This Row],[Lapsed Date]])+20),"")</f>
        <v/>
      </c>
      <c r="Q157" s="203" t="str">
        <f>IFERROR(EDATE(Table35[[#This Row],[Lapsed Date]],12),"")</f>
        <v/>
      </c>
      <c r="R157" s="203" t="str">
        <f>IFERROR(EDATE(Table35[[#This Row],[Lapsed Date]],24),"")</f>
        <v/>
      </c>
      <c r="S157" s="205">
        <f ca="1">DATEDIF(Table35[[#This Row],[Paid to Date]],TODAY(), "M")</f>
        <v>1516</v>
      </c>
      <c r="T157" s="203">
        <f ca="1">Table35[[#This Row],[Number of Monthly premiums missing]]*(Table35[[#This Row],[Lapsed API]]/12)</f>
        <v>0</v>
      </c>
      <c r="U157" s="204">
        <f>(Table35[[#This Row],[Lapsed API]]/12)*3</f>
        <v>0</v>
      </c>
      <c r="V157" s="15"/>
      <c r="W157" s="19"/>
    </row>
    <row r="158" spans="1:23" ht="20.100000000000001" customHeight="1" x14ac:dyDescent="0.3">
      <c r="A158" s="20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203" t="str">
        <f>IF(ISBLANK(Table35[[#This Row],[Paid to Date]]),"",DATE(YEAR(Table35[[#This Row],[Paid to Date]]),MONTH(Table35[[#This Row],[Paid to Date]]),DAY(Table35[[#This Row],[Paid to Date]])+90))</f>
        <v/>
      </c>
      <c r="M158" s="15"/>
      <c r="N158" s="15"/>
      <c r="O158" s="15"/>
      <c r="P158" s="203" t="str">
        <f>IFERROR(DATE(YEAR(Table35[[#This Row],[Lapsed Date]]),MONTH(Table35[[#This Row],[Lapsed Date]]),DAY(Table35[[#This Row],[Lapsed Date]])+20),"")</f>
        <v/>
      </c>
      <c r="Q158" s="203" t="str">
        <f>IFERROR(EDATE(Table35[[#This Row],[Lapsed Date]],12),"")</f>
        <v/>
      </c>
      <c r="R158" s="203" t="str">
        <f>IFERROR(EDATE(Table35[[#This Row],[Lapsed Date]],24),"")</f>
        <v/>
      </c>
      <c r="S158" s="205">
        <f ca="1">DATEDIF(Table35[[#This Row],[Paid to Date]],TODAY(), "M")</f>
        <v>1516</v>
      </c>
      <c r="T158" s="203">
        <f ca="1">Table35[[#This Row],[Number of Monthly premiums missing]]*(Table35[[#This Row],[Lapsed API]]/12)</f>
        <v>0</v>
      </c>
      <c r="U158" s="204">
        <f>(Table35[[#This Row],[Lapsed API]]/12)*3</f>
        <v>0</v>
      </c>
      <c r="V158" s="15"/>
      <c r="W158" s="19"/>
    </row>
    <row r="159" spans="1:23" ht="20.100000000000001" customHeight="1" x14ac:dyDescent="0.3">
      <c r="A159" s="20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203" t="str">
        <f>IF(ISBLANK(Table35[[#This Row],[Paid to Date]]),"",DATE(YEAR(Table35[[#This Row],[Paid to Date]]),MONTH(Table35[[#This Row],[Paid to Date]]),DAY(Table35[[#This Row],[Paid to Date]])+90))</f>
        <v/>
      </c>
      <c r="M159" s="15"/>
      <c r="N159" s="15"/>
      <c r="O159" s="15"/>
      <c r="P159" s="203" t="str">
        <f>IFERROR(DATE(YEAR(Table35[[#This Row],[Lapsed Date]]),MONTH(Table35[[#This Row],[Lapsed Date]]),DAY(Table35[[#This Row],[Lapsed Date]])+20),"")</f>
        <v/>
      </c>
      <c r="Q159" s="203" t="str">
        <f>IFERROR(EDATE(Table35[[#This Row],[Lapsed Date]],12),"")</f>
        <v/>
      </c>
      <c r="R159" s="203" t="str">
        <f>IFERROR(EDATE(Table35[[#This Row],[Lapsed Date]],24),"")</f>
        <v/>
      </c>
      <c r="S159" s="205">
        <f ca="1">DATEDIF(Table35[[#This Row],[Paid to Date]],TODAY(), "M")</f>
        <v>1516</v>
      </c>
      <c r="T159" s="203">
        <f ca="1">Table35[[#This Row],[Number of Monthly premiums missing]]*(Table35[[#This Row],[Lapsed API]]/12)</f>
        <v>0</v>
      </c>
      <c r="U159" s="204">
        <f>(Table35[[#This Row],[Lapsed API]]/12)*3</f>
        <v>0</v>
      </c>
      <c r="V159" s="15"/>
      <c r="W159" s="19"/>
    </row>
    <row r="160" spans="1:23" ht="20.100000000000001" customHeight="1" x14ac:dyDescent="0.3">
      <c r="A160" s="20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203" t="str">
        <f>IF(ISBLANK(Table35[[#This Row],[Paid to Date]]),"",DATE(YEAR(Table35[[#This Row],[Paid to Date]]),MONTH(Table35[[#This Row],[Paid to Date]]),DAY(Table35[[#This Row],[Paid to Date]])+90))</f>
        <v/>
      </c>
      <c r="M160" s="15"/>
      <c r="N160" s="15"/>
      <c r="O160" s="15"/>
      <c r="P160" s="203" t="str">
        <f>IFERROR(DATE(YEAR(Table35[[#This Row],[Lapsed Date]]),MONTH(Table35[[#This Row],[Lapsed Date]]),DAY(Table35[[#This Row],[Lapsed Date]])+20),"")</f>
        <v/>
      </c>
      <c r="Q160" s="203" t="str">
        <f>IFERROR(EDATE(Table35[[#This Row],[Lapsed Date]],12),"")</f>
        <v/>
      </c>
      <c r="R160" s="203" t="str">
        <f>IFERROR(EDATE(Table35[[#This Row],[Lapsed Date]],24),"")</f>
        <v/>
      </c>
      <c r="S160" s="205">
        <f ca="1">DATEDIF(Table35[[#This Row],[Paid to Date]],TODAY(), "M")</f>
        <v>1516</v>
      </c>
      <c r="T160" s="203">
        <f ca="1">Table35[[#This Row],[Number of Monthly premiums missing]]*(Table35[[#This Row],[Lapsed API]]/12)</f>
        <v>0</v>
      </c>
      <c r="U160" s="204">
        <f>(Table35[[#This Row],[Lapsed API]]/12)*3</f>
        <v>0</v>
      </c>
      <c r="V160" s="15"/>
      <c r="W160" s="19"/>
    </row>
    <row r="161" spans="1:23" ht="20.100000000000001" customHeight="1" x14ac:dyDescent="0.3">
      <c r="A161" s="20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203" t="str">
        <f>IF(ISBLANK(Table35[[#This Row],[Paid to Date]]),"",DATE(YEAR(Table35[[#This Row],[Paid to Date]]),MONTH(Table35[[#This Row],[Paid to Date]]),DAY(Table35[[#This Row],[Paid to Date]])+90))</f>
        <v/>
      </c>
      <c r="M161" s="15"/>
      <c r="N161" s="15"/>
      <c r="O161" s="15"/>
      <c r="P161" s="203" t="str">
        <f>IFERROR(DATE(YEAR(Table35[[#This Row],[Lapsed Date]]),MONTH(Table35[[#This Row],[Lapsed Date]]),DAY(Table35[[#This Row],[Lapsed Date]])+20),"")</f>
        <v/>
      </c>
      <c r="Q161" s="203" t="str">
        <f>IFERROR(EDATE(Table35[[#This Row],[Lapsed Date]],12),"")</f>
        <v/>
      </c>
      <c r="R161" s="203" t="str">
        <f>IFERROR(EDATE(Table35[[#This Row],[Lapsed Date]],24),"")</f>
        <v/>
      </c>
      <c r="S161" s="205">
        <f ca="1">DATEDIF(Table35[[#This Row],[Paid to Date]],TODAY(), "M")</f>
        <v>1516</v>
      </c>
      <c r="T161" s="203">
        <f ca="1">Table35[[#This Row],[Number of Monthly premiums missing]]*(Table35[[#This Row],[Lapsed API]]/12)</f>
        <v>0</v>
      </c>
      <c r="U161" s="204">
        <f>(Table35[[#This Row],[Lapsed API]]/12)*3</f>
        <v>0</v>
      </c>
      <c r="V161" s="15"/>
      <c r="W161" s="19"/>
    </row>
    <row r="162" spans="1:23" ht="20.100000000000001" customHeight="1" x14ac:dyDescent="0.3">
      <c r="A162" s="20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203" t="str">
        <f>IF(ISBLANK(Table35[[#This Row],[Paid to Date]]),"",DATE(YEAR(Table35[[#This Row],[Paid to Date]]),MONTH(Table35[[#This Row],[Paid to Date]]),DAY(Table35[[#This Row],[Paid to Date]])+90))</f>
        <v/>
      </c>
      <c r="M162" s="15"/>
      <c r="N162" s="15"/>
      <c r="O162" s="15"/>
      <c r="P162" s="203" t="str">
        <f>IFERROR(DATE(YEAR(Table35[[#This Row],[Lapsed Date]]),MONTH(Table35[[#This Row],[Lapsed Date]]),DAY(Table35[[#This Row],[Lapsed Date]])+20),"")</f>
        <v/>
      </c>
      <c r="Q162" s="203" t="str">
        <f>IFERROR(EDATE(Table35[[#This Row],[Lapsed Date]],12),"")</f>
        <v/>
      </c>
      <c r="R162" s="203" t="str">
        <f>IFERROR(EDATE(Table35[[#This Row],[Lapsed Date]],24),"")</f>
        <v/>
      </c>
      <c r="S162" s="205">
        <f ca="1">DATEDIF(Table35[[#This Row],[Paid to Date]],TODAY(), "M")</f>
        <v>1516</v>
      </c>
      <c r="T162" s="203">
        <f ca="1">Table35[[#This Row],[Number of Monthly premiums missing]]*(Table35[[#This Row],[Lapsed API]]/12)</f>
        <v>0</v>
      </c>
      <c r="U162" s="204">
        <f>(Table35[[#This Row],[Lapsed API]]/12)*3</f>
        <v>0</v>
      </c>
      <c r="V162" s="15"/>
      <c r="W162" s="19"/>
    </row>
    <row r="163" spans="1:23" ht="20.100000000000001" customHeight="1" x14ac:dyDescent="0.3">
      <c r="A163" s="20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203" t="str">
        <f>IF(ISBLANK(Table35[[#This Row],[Paid to Date]]),"",DATE(YEAR(Table35[[#This Row],[Paid to Date]]),MONTH(Table35[[#This Row],[Paid to Date]]),DAY(Table35[[#This Row],[Paid to Date]])+90))</f>
        <v/>
      </c>
      <c r="M163" s="15"/>
      <c r="N163" s="15"/>
      <c r="O163" s="15"/>
      <c r="P163" s="203" t="str">
        <f>IFERROR(DATE(YEAR(Table35[[#This Row],[Lapsed Date]]),MONTH(Table35[[#This Row],[Lapsed Date]]),DAY(Table35[[#This Row],[Lapsed Date]])+20),"")</f>
        <v/>
      </c>
      <c r="Q163" s="203" t="str">
        <f>IFERROR(EDATE(Table35[[#This Row],[Lapsed Date]],12),"")</f>
        <v/>
      </c>
      <c r="R163" s="203" t="str">
        <f>IFERROR(EDATE(Table35[[#This Row],[Lapsed Date]],24),"")</f>
        <v/>
      </c>
      <c r="S163" s="205">
        <f ca="1">DATEDIF(Table35[[#This Row],[Paid to Date]],TODAY(), "M")</f>
        <v>1516</v>
      </c>
      <c r="T163" s="203">
        <f ca="1">Table35[[#This Row],[Number of Monthly premiums missing]]*(Table35[[#This Row],[Lapsed API]]/12)</f>
        <v>0</v>
      </c>
      <c r="U163" s="204">
        <f>(Table35[[#This Row],[Lapsed API]]/12)*3</f>
        <v>0</v>
      </c>
      <c r="V163" s="15"/>
      <c r="W163" s="19"/>
    </row>
    <row r="164" spans="1:23" ht="20.100000000000001" customHeight="1" x14ac:dyDescent="0.3">
      <c r="A164" s="20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203" t="str">
        <f>IF(ISBLANK(Table35[[#This Row],[Paid to Date]]),"",DATE(YEAR(Table35[[#This Row],[Paid to Date]]),MONTH(Table35[[#This Row],[Paid to Date]]),DAY(Table35[[#This Row],[Paid to Date]])+90))</f>
        <v/>
      </c>
      <c r="M164" s="15"/>
      <c r="N164" s="15"/>
      <c r="O164" s="15"/>
      <c r="P164" s="203" t="str">
        <f>IFERROR(DATE(YEAR(Table35[[#This Row],[Lapsed Date]]),MONTH(Table35[[#This Row],[Lapsed Date]]),DAY(Table35[[#This Row],[Lapsed Date]])+20),"")</f>
        <v/>
      </c>
      <c r="Q164" s="203" t="str">
        <f>IFERROR(EDATE(Table35[[#This Row],[Lapsed Date]],12),"")</f>
        <v/>
      </c>
      <c r="R164" s="203" t="str">
        <f>IFERROR(EDATE(Table35[[#This Row],[Lapsed Date]],24),"")</f>
        <v/>
      </c>
      <c r="S164" s="205">
        <f ca="1">DATEDIF(Table35[[#This Row],[Paid to Date]],TODAY(), "M")</f>
        <v>1516</v>
      </c>
      <c r="T164" s="203">
        <f ca="1">Table35[[#This Row],[Number of Monthly premiums missing]]*(Table35[[#This Row],[Lapsed API]]/12)</f>
        <v>0</v>
      </c>
      <c r="U164" s="204">
        <f>(Table35[[#This Row],[Lapsed API]]/12)*3</f>
        <v>0</v>
      </c>
      <c r="V164" s="15"/>
      <c r="W164" s="19"/>
    </row>
    <row r="165" spans="1:23" ht="20.100000000000001" customHeight="1" x14ac:dyDescent="0.3">
      <c r="A165" s="20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203" t="str">
        <f>IF(ISBLANK(Table35[[#This Row],[Paid to Date]]),"",DATE(YEAR(Table35[[#This Row],[Paid to Date]]),MONTH(Table35[[#This Row],[Paid to Date]]),DAY(Table35[[#This Row],[Paid to Date]])+90))</f>
        <v/>
      </c>
      <c r="M165" s="15"/>
      <c r="N165" s="15"/>
      <c r="O165" s="15"/>
      <c r="P165" s="203" t="str">
        <f>IFERROR(DATE(YEAR(Table35[[#This Row],[Lapsed Date]]),MONTH(Table35[[#This Row],[Lapsed Date]]),DAY(Table35[[#This Row],[Lapsed Date]])+20),"")</f>
        <v/>
      </c>
      <c r="Q165" s="203" t="str">
        <f>IFERROR(EDATE(Table35[[#This Row],[Lapsed Date]],12),"")</f>
        <v/>
      </c>
      <c r="R165" s="203" t="str">
        <f>IFERROR(EDATE(Table35[[#This Row],[Lapsed Date]],24),"")</f>
        <v/>
      </c>
      <c r="S165" s="205">
        <f ca="1">DATEDIF(Table35[[#This Row],[Paid to Date]],TODAY(), "M")</f>
        <v>1516</v>
      </c>
      <c r="T165" s="203">
        <f ca="1">Table35[[#This Row],[Number of Monthly premiums missing]]*(Table35[[#This Row],[Lapsed API]]/12)</f>
        <v>0</v>
      </c>
      <c r="U165" s="204">
        <f>(Table35[[#This Row],[Lapsed API]]/12)*3</f>
        <v>0</v>
      </c>
      <c r="V165" s="15"/>
      <c r="W165" s="19"/>
    </row>
    <row r="166" spans="1:23" ht="20.100000000000001" customHeight="1" x14ac:dyDescent="0.3">
      <c r="A166" s="20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203" t="str">
        <f>IF(ISBLANK(Table35[[#This Row],[Paid to Date]]),"",DATE(YEAR(Table35[[#This Row],[Paid to Date]]),MONTH(Table35[[#This Row],[Paid to Date]]),DAY(Table35[[#This Row],[Paid to Date]])+90))</f>
        <v/>
      </c>
      <c r="M166" s="15"/>
      <c r="N166" s="15"/>
      <c r="O166" s="15"/>
      <c r="P166" s="203" t="str">
        <f>IFERROR(DATE(YEAR(Table35[[#This Row],[Lapsed Date]]),MONTH(Table35[[#This Row],[Lapsed Date]]),DAY(Table35[[#This Row],[Lapsed Date]])+20),"")</f>
        <v/>
      </c>
      <c r="Q166" s="203" t="str">
        <f>IFERROR(EDATE(Table35[[#This Row],[Lapsed Date]],12),"")</f>
        <v/>
      </c>
      <c r="R166" s="203" t="str">
        <f>IFERROR(EDATE(Table35[[#This Row],[Lapsed Date]],24),"")</f>
        <v/>
      </c>
      <c r="S166" s="205">
        <f ca="1">DATEDIF(Table35[[#This Row],[Paid to Date]],TODAY(), "M")</f>
        <v>1516</v>
      </c>
      <c r="T166" s="203">
        <f ca="1">Table35[[#This Row],[Number of Monthly premiums missing]]*(Table35[[#This Row],[Lapsed API]]/12)</f>
        <v>0</v>
      </c>
      <c r="U166" s="204">
        <f>(Table35[[#This Row],[Lapsed API]]/12)*3</f>
        <v>0</v>
      </c>
      <c r="V166" s="15"/>
      <c r="W166" s="19"/>
    </row>
    <row r="167" spans="1:23" ht="20.100000000000001" customHeight="1" x14ac:dyDescent="0.3">
      <c r="A167" s="20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203" t="str">
        <f>IF(ISBLANK(Table35[[#This Row],[Paid to Date]]),"",DATE(YEAR(Table35[[#This Row],[Paid to Date]]),MONTH(Table35[[#This Row],[Paid to Date]]),DAY(Table35[[#This Row],[Paid to Date]])+90))</f>
        <v/>
      </c>
      <c r="M167" s="15"/>
      <c r="N167" s="15"/>
      <c r="O167" s="15"/>
      <c r="P167" s="203" t="str">
        <f>IFERROR(DATE(YEAR(Table35[[#This Row],[Lapsed Date]]),MONTH(Table35[[#This Row],[Lapsed Date]]),DAY(Table35[[#This Row],[Lapsed Date]])+20),"")</f>
        <v/>
      </c>
      <c r="Q167" s="203" t="str">
        <f>IFERROR(EDATE(Table35[[#This Row],[Lapsed Date]],12),"")</f>
        <v/>
      </c>
      <c r="R167" s="203" t="str">
        <f>IFERROR(EDATE(Table35[[#This Row],[Lapsed Date]],24),"")</f>
        <v/>
      </c>
      <c r="S167" s="205">
        <f ca="1">DATEDIF(Table35[[#This Row],[Paid to Date]],TODAY(), "M")</f>
        <v>1516</v>
      </c>
      <c r="T167" s="203">
        <f ca="1">Table35[[#This Row],[Number of Monthly premiums missing]]*(Table35[[#This Row],[Lapsed API]]/12)</f>
        <v>0</v>
      </c>
      <c r="U167" s="204">
        <f>(Table35[[#This Row],[Lapsed API]]/12)*3</f>
        <v>0</v>
      </c>
      <c r="V167" s="15"/>
      <c r="W167" s="19"/>
    </row>
    <row r="168" spans="1:23" ht="20.100000000000001" customHeight="1" x14ac:dyDescent="0.3">
      <c r="A168" s="20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203" t="str">
        <f>IF(ISBLANK(Table35[[#This Row],[Paid to Date]]),"",DATE(YEAR(Table35[[#This Row],[Paid to Date]]),MONTH(Table35[[#This Row],[Paid to Date]]),DAY(Table35[[#This Row],[Paid to Date]])+90))</f>
        <v/>
      </c>
      <c r="M168" s="15"/>
      <c r="N168" s="15"/>
      <c r="O168" s="15"/>
      <c r="P168" s="203" t="str">
        <f>IFERROR(DATE(YEAR(Table35[[#This Row],[Lapsed Date]]),MONTH(Table35[[#This Row],[Lapsed Date]]),DAY(Table35[[#This Row],[Lapsed Date]])+20),"")</f>
        <v/>
      </c>
      <c r="Q168" s="203" t="str">
        <f>IFERROR(EDATE(Table35[[#This Row],[Lapsed Date]],12),"")</f>
        <v/>
      </c>
      <c r="R168" s="203" t="str">
        <f>IFERROR(EDATE(Table35[[#This Row],[Lapsed Date]],24),"")</f>
        <v/>
      </c>
      <c r="S168" s="205">
        <f ca="1">DATEDIF(Table35[[#This Row],[Paid to Date]],TODAY(), "M")</f>
        <v>1516</v>
      </c>
      <c r="T168" s="203">
        <f ca="1">Table35[[#This Row],[Number of Monthly premiums missing]]*(Table35[[#This Row],[Lapsed API]]/12)</f>
        <v>0</v>
      </c>
      <c r="U168" s="204">
        <f>(Table35[[#This Row],[Lapsed API]]/12)*3</f>
        <v>0</v>
      </c>
      <c r="V168" s="15"/>
      <c r="W168" s="19"/>
    </row>
    <row r="169" spans="1:23" ht="20.100000000000001" customHeight="1" x14ac:dyDescent="0.3">
      <c r="A169" s="20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203" t="str">
        <f>IF(ISBLANK(Table35[[#This Row],[Paid to Date]]),"",DATE(YEAR(Table35[[#This Row],[Paid to Date]]),MONTH(Table35[[#This Row],[Paid to Date]]),DAY(Table35[[#This Row],[Paid to Date]])+90))</f>
        <v/>
      </c>
      <c r="M169" s="15"/>
      <c r="N169" s="15"/>
      <c r="O169" s="15"/>
      <c r="P169" s="203" t="str">
        <f>IFERROR(DATE(YEAR(Table35[[#This Row],[Lapsed Date]]),MONTH(Table35[[#This Row],[Lapsed Date]]),DAY(Table35[[#This Row],[Lapsed Date]])+20),"")</f>
        <v/>
      </c>
      <c r="Q169" s="203" t="str">
        <f>IFERROR(EDATE(Table35[[#This Row],[Lapsed Date]],12),"")</f>
        <v/>
      </c>
      <c r="R169" s="203" t="str">
        <f>IFERROR(EDATE(Table35[[#This Row],[Lapsed Date]],24),"")</f>
        <v/>
      </c>
      <c r="S169" s="205">
        <f ca="1">DATEDIF(Table35[[#This Row],[Paid to Date]],TODAY(), "M")</f>
        <v>1516</v>
      </c>
      <c r="T169" s="203">
        <f ca="1">Table35[[#This Row],[Number of Monthly premiums missing]]*(Table35[[#This Row],[Lapsed API]]/12)</f>
        <v>0</v>
      </c>
      <c r="U169" s="204">
        <f>(Table35[[#This Row],[Lapsed API]]/12)*3</f>
        <v>0</v>
      </c>
      <c r="V169" s="15"/>
      <c r="W169" s="19"/>
    </row>
    <row r="170" spans="1:23" ht="20.100000000000001" customHeight="1" x14ac:dyDescent="0.3">
      <c r="A170" s="20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203" t="str">
        <f>IF(ISBLANK(Table35[[#This Row],[Paid to Date]]),"",DATE(YEAR(Table35[[#This Row],[Paid to Date]]),MONTH(Table35[[#This Row],[Paid to Date]]),DAY(Table35[[#This Row],[Paid to Date]])+90))</f>
        <v/>
      </c>
      <c r="M170" s="15"/>
      <c r="N170" s="15"/>
      <c r="O170" s="15"/>
      <c r="P170" s="203" t="str">
        <f>IFERROR(DATE(YEAR(Table35[[#This Row],[Lapsed Date]]),MONTH(Table35[[#This Row],[Lapsed Date]]),DAY(Table35[[#This Row],[Lapsed Date]])+20),"")</f>
        <v/>
      </c>
      <c r="Q170" s="203" t="str">
        <f>IFERROR(EDATE(Table35[[#This Row],[Lapsed Date]],12),"")</f>
        <v/>
      </c>
      <c r="R170" s="203" t="str">
        <f>IFERROR(EDATE(Table35[[#This Row],[Lapsed Date]],24),"")</f>
        <v/>
      </c>
      <c r="S170" s="205">
        <f ca="1">DATEDIF(Table35[[#This Row],[Paid to Date]],TODAY(), "M")</f>
        <v>1516</v>
      </c>
      <c r="T170" s="203">
        <f ca="1">Table35[[#This Row],[Number of Monthly premiums missing]]*(Table35[[#This Row],[Lapsed API]]/12)</f>
        <v>0</v>
      </c>
      <c r="U170" s="204">
        <f>(Table35[[#This Row],[Lapsed API]]/12)*3</f>
        <v>0</v>
      </c>
      <c r="V170" s="15"/>
      <c r="W170" s="19"/>
    </row>
    <row r="171" spans="1:23" ht="20.100000000000001" customHeight="1" x14ac:dyDescent="0.3">
      <c r="A171" s="20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203" t="str">
        <f>IF(ISBLANK(Table35[[#This Row],[Paid to Date]]),"",DATE(YEAR(Table35[[#This Row],[Paid to Date]]),MONTH(Table35[[#This Row],[Paid to Date]]),DAY(Table35[[#This Row],[Paid to Date]])+90))</f>
        <v/>
      </c>
      <c r="M171" s="15"/>
      <c r="N171" s="15"/>
      <c r="O171" s="15"/>
      <c r="P171" s="203" t="str">
        <f>IFERROR(DATE(YEAR(Table35[[#This Row],[Lapsed Date]]),MONTH(Table35[[#This Row],[Lapsed Date]]),DAY(Table35[[#This Row],[Lapsed Date]])+20),"")</f>
        <v/>
      </c>
      <c r="Q171" s="203" t="str">
        <f>IFERROR(EDATE(Table35[[#This Row],[Lapsed Date]],12),"")</f>
        <v/>
      </c>
      <c r="R171" s="203" t="str">
        <f>IFERROR(EDATE(Table35[[#This Row],[Lapsed Date]],24),"")</f>
        <v/>
      </c>
      <c r="S171" s="205">
        <f ca="1">DATEDIF(Table35[[#This Row],[Paid to Date]],TODAY(), "M")</f>
        <v>1516</v>
      </c>
      <c r="T171" s="203">
        <f ca="1">Table35[[#This Row],[Number of Monthly premiums missing]]*(Table35[[#This Row],[Lapsed API]]/12)</f>
        <v>0</v>
      </c>
      <c r="U171" s="204">
        <f>(Table35[[#This Row],[Lapsed API]]/12)*3</f>
        <v>0</v>
      </c>
      <c r="V171" s="15"/>
      <c r="W171" s="19"/>
    </row>
    <row r="172" spans="1:23" ht="20.100000000000001" customHeight="1" x14ac:dyDescent="0.3">
      <c r="A172" s="20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203" t="str">
        <f>IF(ISBLANK(Table35[[#This Row],[Paid to Date]]),"",DATE(YEAR(Table35[[#This Row],[Paid to Date]]),MONTH(Table35[[#This Row],[Paid to Date]]),DAY(Table35[[#This Row],[Paid to Date]])+90))</f>
        <v/>
      </c>
      <c r="M172" s="15"/>
      <c r="N172" s="15"/>
      <c r="O172" s="15"/>
      <c r="P172" s="203" t="str">
        <f>IFERROR(DATE(YEAR(Table35[[#This Row],[Lapsed Date]]),MONTH(Table35[[#This Row],[Lapsed Date]]),DAY(Table35[[#This Row],[Lapsed Date]])+20),"")</f>
        <v/>
      </c>
      <c r="Q172" s="203" t="str">
        <f>IFERROR(EDATE(Table35[[#This Row],[Lapsed Date]],12),"")</f>
        <v/>
      </c>
      <c r="R172" s="203" t="str">
        <f>IFERROR(EDATE(Table35[[#This Row],[Lapsed Date]],24),"")</f>
        <v/>
      </c>
      <c r="S172" s="205">
        <f ca="1">DATEDIF(Table35[[#This Row],[Paid to Date]],TODAY(), "M")</f>
        <v>1516</v>
      </c>
      <c r="T172" s="203">
        <f ca="1">Table35[[#This Row],[Number of Monthly premiums missing]]*(Table35[[#This Row],[Lapsed API]]/12)</f>
        <v>0</v>
      </c>
      <c r="U172" s="204">
        <f>(Table35[[#This Row],[Lapsed API]]/12)*3</f>
        <v>0</v>
      </c>
      <c r="V172" s="15"/>
      <c r="W172" s="19"/>
    </row>
    <row r="173" spans="1:23" ht="20.100000000000001" customHeight="1" x14ac:dyDescent="0.3">
      <c r="A173" s="20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203" t="str">
        <f>IF(ISBLANK(Table35[[#This Row],[Paid to Date]]),"",DATE(YEAR(Table35[[#This Row],[Paid to Date]]),MONTH(Table35[[#This Row],[Paid to Date]]),DAY(Table35[[#This Row],[Paid to Date]])+90))</f>
        <v/>
      </c>
      <c r="M173" s="15"/>
      <c r="N173" s="15"/>
      <c r="O173" s="15"/>
      <c r="P173" s="203" t="str">
        <f>IFERROR(DATE(YEAR(Table35[[#This Row],[Lapsed Date]]),MONTH(Table35[[#This Row],[Lapsed Date]]),DAY(Table35[[#This Row],[Lapsed Date]])+20),"")</f>
        <v/>
      </c>
      <c r="Q173" s="203" t="str">
        <f>IFERROR(EDATE(Table35[[#This Row],[Lapsed Date]],12),"")</f>
        <v/>
      </c>
      <c r="R173" s="203" t="str">
        <f>IFERROR(EDATE(Table35[[#This Row],[Lapsed Date]],24),"")</f>
        <v/>
      </c>
      <c r="S173" s="205">
        <f ca="1">DATEDIF(Table35[[#This Row],[Paid to Date]],TODAY(), "M")</f>
        <v>1516</v>
      </c>
      <c r="T173" s="203">
        <f ca="1">Table35[[#This Row],[Number of Monthly premiums missing]]*(Table35[[#This Row],[Lapsed API]]/12)</f>
        <v>0</v>
      </c>
      <c r="U173" s="204">
        <f>(Table35[[#This Row],[Lapsed API]]/12)*3</f>
        <v>0</v>
      </c>
      <c r="V173" s="15"/>
      <c r="W173" s="19"/>
    </row>
    <row r="174" spans="1:23" ht="20.100000000000001" customHeight="1" x14ac:dyDescent="0.3">
      <c r="A174" s="20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203" t="str">
        <f>IF(ISBLANK(Table35[[#This Row],[Paid to Date]]),"",DATE(YEAR(Table35[[#This Row],[Paid to Date]]),MONTH(Table35[[#This Row],[Paid to Date]]),DAY(Table35[[#This Row],[Paid to Date]])+90))</f>
        <v/>
      </c>
      <c r="M174" s="15"/>
      <c r="N174" s="15"/>
      <c r="O174" s="15"/>
      <c r="P174" s="203" t="str">
        <f>IFERROR(DATE(YEAR(Table35[[#This Row],[Lapsed Date]]),MONTH(Table35[[#This Row],[Lapsed Date]]),DAY(Table35[[#This Row],[Lapsed Date]])+20),"")</f>
        <v/>
      </c>
      <c r="Q174" s="203" t="str">
        <f>IFERROR(EDATE(Table35[[#This Row],[Lapsed Date]],12),"")</f>
        <v/>
      </c>
      <c r="R174" s="203" t="str">
        <f>IFERROR(EDATE(Table35[[#This Row],[Lapsed Date]],24),"")</f>
        <v/>
      </c>
      <c r="S174" s="205">
        <f ca="1">DATEDIF(Table35[[#This Row],[Paid to Date]],TODAY(), "M")</f>
        <v>1516</v>
      </c>
      <c r="T174" s="203">
        <f ca="1">Table35[[#This Row],[Number of Monthly premiums missing]]*(Table35[[#This Row],[Lapsed API]]/12)</f>
        <v>0</v>
      </c>
      <c r="U174" s="204">
        <f>(Table35[[#This Row],[Lapsed API]]/12)*3</f>
        <v>0</v>
      </c>
      <c r="V174" s="15"/>
      <c r="W174" s="19"/>
    </row>
    <row r="175" spans="1:23" ht="20.100000000000001" customHeight="1" x14ac:dyDescent="0.3">
      <c r="A175" s="20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203" t="str">
        <f>IF(ISBLANK(Table35[[#This Row],[Paid to Date]]),"",DATE(YEAR(Table35[[#This Row],[Paid to Date]]),MONTH(Table35[[#This Row],[Paid to Date]]),DAY(Table35[[#This Row],[Paid to Date]])+90))</f>
        <v/>
      </c>
      <c r="M175" s="15"/>
      <c r="N175" s="15"/>
      <c r="O175" s="15"/>
      <c r="P175" s="203" t="str">
        <f>IFERROR(DATE(YEAR(Table35[[#This Row],[Lapsed Date]]),MONTH(Table35[[#This Row],[Lapsed Date]]),DAY(Table35[[#This Row],[Lapsed Date]])+20),"")</f>
        <v/>
      </c>
      <c r="Q175" s="203" t="str">
        <f>IFERROR(EDATE(Table35[[#This Row],[Lapsed Date]],12),"")</f>
        <v/>
      </c>
      <c r="R175" s="203" t="str">
        <f>IFERROR(EDATE(Table35[[#This Row],[Lapsed Date]],24),"")</f>
        <v/>
      </c>
      <c r="S175" s="205">
        <f ca="1">DATEDIF(Table35[[#This Row],[Paid to Date]],TODAY(), "M")</f>
        <v>1516</v>
      </c>
      <c r="T175" s="203">
        <f ca="1">Table35[[#This Row],[Number of Monthly premiums missing]]*(Table35[[#This Row],[Lapsed API]]/12)</f>
        <v>0</v>
      </c>
      <c r="U175" s="204">
        <f>(Table35[[#This Row],[Lapsed API]]/12)*3</f>
        <v>0</v>
      </c>
      <c r="V175" s="15"/>
      <c r="W175" s="19"/>
    </row>
    <row r="176" spans="1:23" ht="20.100000000000001" customHeight="1" x14ac:dyDescent="0.3">
      <c r="A176" s="20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203" t="str">
        <f>IF(ISBLANK(Table35[[#This Row],[Paid to Date]]),"",DATE(YEAR(Table35[[#This Row],[Paid to Date]]),MONTH(Table35[[#This Row],[Paid to Date]]),DAY(Table35[[#This Row],[Paid to Date]])+90))</f>
        <v/>
      </c>
      <c r="M176" s="15"/>
      <c r="N176" s="15"/>
      <c r="O176" s="15"/>
      <c r="P176" s="203" t="str">
        <f>IFERROR(DATE(YEAR(Table35[[#This Row],[Lapsed Date]]),MONTH(Table35[[#This Row],[Lapsed Date]]),DAY(Table35[[#This Row],[Lapsed Date]])+20),"")</f>
        <v/>
      </c>
      <c r="Q176" s="203" t="str">
        <f>IFERROR(EDATE(Table35[[#This Row],[Lapsed Date]],12),"")</f>
        <v/>
      </c>
      <c r="R176" s="203" t="str">
        <f>IFERROR(EDATE(Table35[[#This Row],[Lapsed Date]],24),"")</f>
        <v/>
      </c>
      <c r="S176" s="205">
        <f ca="1">DATEDIF(Table35[[#This Row],[Paid to Date]],TODAY(), "M")</f>
        <v>1516</v>
      </c>
      <c r="T176" s="203">
        <f ca="1">Table35[[#This Row],[Number of Monthly premiums missing]]*(Table35[[#This Row],[Lapsed API]]/12)</f>
        <v>0</v>
      </c>
      <c r="U176" s="204">
        <f>(Table35[[#This Row],[Lapsed API]]/12)*3</f>
        <v>0</v>
      </c>
      <c r="V176" s="15"/>
      <c r="W176" s="19"/>
    </row>
    <row r="177" spans="1:23" ht="20.100000000000001" customHeight="1" x14ac:dyDescent="0.3">
      <c r="A177" s="20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203" t="str">
        <f>IF(ISBLANK(Table35[[#This Row],[Paid to Date]]),"",DATE(YEAR(Table35[[#This Row],[Paid to Date]]),MONTH(Table35[[#This Row],[Paid to Date]]),DAY(Table35[[#This Row],[Paid to Date]])+90))</f>
        <v/>
      </c>
      <c r="M177" s="15"/>
      <c r="N177" s="15"/>
      <c r="O177" s="15"/>
      <c r="P177" s="203" t="str">
        <f>IFERROR(DATE(YEAR(Table35[[#This Row],[Lapsed Date]]),MONTH(Table35[[#This Row],[Lapsed Date]]),DAY(Table35[[#This Row],[Lapsed Date]])+20),"")</f>
        <v/>
      </c>
      <c r="Q177" s="203" t="str">
        <f>IFERROR(EDATE(Table35[[#This Row],[Lapsed Date]],12),"")</f>
        <v/>
      </c>
      <c r="R177" s="203" t="str">
        <f>IFERROR(EDATE(Table35[[#This Row],[Lapsed Date]],24),"")</f>
        <v/>
      </c>
      <c r="S177" s="205">
        <f ca="1">DATEDIF(Table35[[#This Row],[Paid to Date]],TODAY(), "M")</f>
        <v>1516</v>
      </c>
      <c r="T177" s="203">
        <f ca="1">Table35[[#This Row],[Number of Monthly premiums missing]]*(Table35[[#This Row],[Lapsed API]]/12)</f>
        <v>0</v>
      </c>
      <c r="U177" s="204">
        <f>(Table35[[#This Row],[Lapsed API]]/12)*3</f>
        <v>0</v>
      </c>
      <c r="V177" s="15"/>
      <c r="W177" s="19"/>
    </row>
    <row r="178" spans="1:23" ht="20.100000000000001" customHeight="1" x14ac:dyDescent="0.3">
      <c r="A178" s="20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203" t="str">
        <f>IF(ISBLANK(Table35[[#This Row],[Paid to Date]]),"",DATE(YEAR(Table35[[#This Row],[Paid to Date]]),MONTH(Table35[[#This Row],[Paid to Date]]),DAY(Table35[[#This Row],[Paid to Date]])+90))</f>
        <v/>
      </c>
      <c r="M178" s="15"/>
      <c r="N178" s="15"/>
      <c r="O178" s="15"/>
      <c r="P178" s="203" t="str">
        <f>IFERROR(DATE(YEAR(Table35[[#This Row],[Lapsed Date]]),MONTH(Table35[[#This Row],[Lapsed Date]]),DAY(Table35[[#This Row],[Lapsed Date]])+20),"")</f>
        <v/>
      </c>
      <c r="Q178" s="203" t="str">
        <f>IFERROR(EDATE(Table35[[#This Row],[Lapsed Date]],12),"")</f>
        <v/>
      </c>
      <c r="R178" s="203" t="str">
        <f>IFERROR(EDATE(Table35[[#This Row],[Lapsed Date]],24),"")</f>
        <v/>
      </c>
      <c r="S178" s="205">
        <f ca="1">DATEDIF(Table35[[#This Row],[Paid to Date]],TODAY(), "M")</f>
        <v>1516</v>
      </c>
      <c r="T178" s="203">
        <f ca="1">Table35[[#This Row],[Number of Monthly premiums missing]]*(Table35[[#This Row],[Lapsed API]]/12)</f>
        <v>0</v>
      </c>
      <c r="U178" s="204">
        <f>(Table35[[#This Row],[Lapsed API]]/12)*3</f>
        <v>0</v>
      </c>
      <c r="V178" s="15"/>
      <c r="W178" s="19"/>
    </row>
    <row r="179" spans="1:23" ht="20.100000000000001" customHeight="1" x14ac:dyDescent="0.3">
      <c r="A179" s="20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203" t="str">
        <f>IF(ISBLANK(Table35[[#This Row],[Paid to Date]]),"",DATE(YEAR(Table35[[#This Row],[Paid to Date]]),MONTH(Table35[[#This Row],[Paid to Date]]),DAY(Table35[[#This Row],[Paid to Date]])+90))</f>
        <v/>
      </c>
      <c r="M179" s="15"/>
      <c r="N179" s="15"/>
      <c r="O179" s="15"/>
      <c r="P179" s="203" t="str">
        <f>IFERROR(DATE(YEAR(Table35[[#This Row],[Lapsed Date]]),MONTH(Table35[[#This Row],[Lapsed Date]]),DAY(Table35[[#This Row],[Lapsed Date]])+20),"")</f>
        <v/>
      </c>
      <c r="Q179" s="203" t="str">
        <f>IFERROR(EDATE(Table35[[#This Row],[Lapsed Date]],12),"")</f>
        <v/>
      </c>
      <c r="R179" s="203" t="str">
        <f>IFERROR(EDATE(Table35[[#This Row],[Lapsed Date]],24),"")</f>
        <v/>
      </c>
      <c r="S179" s="205">
        <f ca="1">DATEDIF(Table35[[#This Row],[Paid to Date]],TODAY(), "M")</f>
        <v>1516</v>
      </c>
      <c r="T179" s="203">
        <f ca="1">Table35[[#This Row],[Number of Monthly premiums missing]]*(Table35[[#This Row],[Lapsed API]]/12)</f>
        <v>0</v>
      </c>
      <c r="U179" s="204">
        <f>(Table35[[#This Row],[Lapsed API]]/12)*3</f>
        <v>0</v>
      </c>
      <c r="V179" s="15"/>
      <c r="W179" s="19"/>
    </row>
    <row r="180" spans="1:23" ht="20.100000000000001" customHeight="1" x14ac:dyDescent="0.3">
      <c r="A180" s="20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203" t="str">
        <f>IF(ISBLANK(Table35[[#This Row],[Paid to Date]]),"",DATE(YEAR(Table35[[#This Row],[Paid to Date]]),MONTH(Table35[[#This Row],[Paid to Date]]),DAY(Table35[[#This Row],[Paid to Date]])+90))</f>
        <v/>
      </c>
      <c r="M180" s="15"/>
      <c r="N180" s="15"/>
      <c r="O180" s="15"/>
      <c r="P180" s="203" t="str">
        <f>IFERROR(DATE(YEAR(Table35[[#This Row],[Lapsed Date]]),MONTH(Table35[[#This Row],[Lapsed Date]]),DAY(Table35[[#This Row],[Lapsed Date]])+20),"")</f>
        <v/>
      </c>
      <c r="Q180" s="203" t="str">
        <f>IFERROR(EDATE(Table35[[#This Row],[Lapsed Date]],12),"")</f>
        <v/>
      </c>
      <c r="R180" s="203" t="str">
        <f>IFERROR(EDATE(Table35[[#This Row],[Lapsed Date]],24),"")</f>
        <v/>
      </c>
      <c r="S180" s="205">
        <f ca="1">DATEDIF(Table35[[#This Row],[Paid to Date]],TODAY(), "M")</f>
        <v>1516</v>
      </c>
      <c r="T180" s="203">
        <f ca="1">Table35[[#This Row],[Number of Monthly premiums missing]]*(Table35[[#This Row],[Lapsed API]]/12)</f>
        <v>0</v>
      </c>
      <c r="U180" s="204">
        <f>(Table35[[#This Row],[Lapsed API]]/12)*3</f>
        <v>0</v>
      </c>
      <c r="V180" s="15"/>
      <c r="W180" s="19"/>
    </row>
    <row r="181" spans="1:23" ht="20.100000000000001" customHeight="1" x14ac:dyDescent="0.3">
      <c r="A181" s="20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203" t="str">
        <f>IF(ISBLANK(Table35[[#This Row],[Paid to Date]]),"",DATE(YEAR(Table35[[#This Row],[Paid to Date]]),MONTH(Table35[[#This Row],[Paid to Date]]),DAY(Table35[[#This Row],[Paid to Date]])+90))</f>
        <v/>
      </c>
      <c r="M181" s="15"/>
      <c r="N181" s="15"/>
      <c r="O181" s="15"/>
      <c r="P181" s="203" t="str">
        <f>IFERROR(DATE(YEAR(Table35[[#This Row],[Lapsed Date]]),MONTH(Table35[[#This Row],[Lapsed Date]]),DAY(Table35[[#This Row],[Lapsed Date]])+20),"")</f>
        <v/>
      </c>
      <c r="Q181" s="203" t="str">
        <f>IFERROR(EDATE(Table35[[#This Row],[Lapsed Date]],12),"")</f>
        <v/>
      </c>
      <c r="R181" s="203" t="str">
        <f>IFERROR(EDATE(Table35[[#This Row],[Lapsed Date]],24),"")</f>
        <v/>
      </c>
      <c r="S181" s="205">
        <f ca="1">DATEDIF(Table35[[#This Row],[Paid to Date]],TODAY(), "M")</f>
        <v>1516</v>
      </c>
      <c r="T181" s="203">
        <f ca="1">Table35[[#This Row],[Number of Monthly premiums missing]]*(Table35[[#This Row],[Lapsed API]]/12)</f>
        <v>0</v>
      </c>
      <c r="U181" s="204">
        <f>(Table35[[#This Row],[Lapsed API]]/12)*3</f>
        <v>0</v>
      </c>
      <c r="V181" s="15"/>
      <c r="W181" s="19"/>
    </row>
    <row r="182" spans="1:23" ht="20.100000000000001" customHeight="1" x14ac:dyDescent="0.3">
      <c r="A182" s="20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203" t="str">
        <f>IF(ISBLANK(Table35[[#This Row],[Paid to Date]]),"",DATE(YEAR(Table35[[#This Row],[Paid to Date]]),MONTH(Table35[[#This Row],[Paid to Date]]),DAY(Table35[[#This Row],[Paid to Date]])+90))</f>
        <v/>
      </c>
      <c r="M182" s="15"/>
      <c r="N182" s="15"/>
      <c r="O182" s="15"/>
      <c r="P182" s="203" t="str">
        <f>IFERROR(DATE(YEAR(Table35[[#This Row],[Lapsed Date]]),MONTH(Table35[[#This Row],[Lapsed Date]]),DAY(Table35[[#This Row],[Lapsed Date]])+20),"")</f>
        <v/>
      </c>
      <c r="Q182" s="203" t="str">
        <f>IFERROR(EDATE(Table35[[#This Row],[Lapsed Date]],12),"")</f>
        <v/>
      </c>
      <c r="R182" s="203" t="str">
        <f>IFERROR(EDATE(Table35[[#This Row],[Lapsed Date]],24),"")</f>
        <v/>
      </c>
      <c r="S182" s="205">
        <f ca="1">DATEDIF(Table35[[#This Row],[Paid to Date]],TODAY(), "M")</f>
        <v>1516</v>
      </c>
      <c r="T182" s="203">
        <f ca="1">Table35[[#This Row],[Number of Monthly premiums missing]]*(Table35[[#This Row],[Lapsed API]]/12)</f>
        <v>0</v>
      </c>
      <c r="U182" s="204">
        <f>(Table35[[#This Row],[Lapsed API]]/12)*3</f>
        <v>0</v>
      </c>
      <c r="V182" s="15"/>
      <c r="W182" s="19"/>
    </row>
    <row r="183" spans="1:23" ht="20.100000000000001" customHeight="1" x14ac:dyDescent="0.3">
      <c r="A183" s="20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203" t="str">
        <f>IF(ISBLANK(Table35[[#This Row],[Paid to Date]]),"",DATE(YEAR(Table35[[#This Row],[Paid to Date]]),MONTH(Table35[[#This Row],[Paid to Date]]),DAY(Table35[[#This Row],[Paid to Date]])+90))</f>
        <v/>
      </c>
      <c r="M183" s="15"/>
      <c r="N183" s="15"/>
      <c r="O183" s="15"/>
      <c r="P183" s="203" t="str">
        <f>IFERROR(DATE(YEAR(Table35[[#This Row],[Lapsed Date]]),MONTH(Table35[[#This Row],[Lapsed Date]]),DAY(Table35[[#This Row],[Lapsed Date]])+20),"")</f>
        <v/>
      </c>
      <c r="Q183" s="203" t="str">
        <f>IFERROR(EDATE(Table35[[#This Row],[Lapsed Date]],12),"")</f>
        <v/>
      </c>
      <c r="R183" s="203" t="str">
        <f>IFERROR(EDATE(Table35[[#This Row],[Lapsed Date]],24),"")</f>
        <v/>
      </c>
      <c r="S183" s="205">
        <f ca="1">DATEDIF(Table35[[#This Row],[Paid to Date]],TODAY(), "M")</f>
        <v>1516</v>
      </c>
      <c r="T183" s="203">
        <f ca="1">Table35[[#This Row],[Number of Monthly premiums missing]]*(Table35[[#This Row],[Lapsed API]]/12)</f>
        <v>0</v>
      </c>
      <c r="U183" s="204">
        <f>(Table35[[#This Row],[Lapsed API]]/12)*3</f>
        <v>0</v>
      </c>
      <c r="V183" s="15"/>
      <c r="W183" s="19"/>
    </row>
    <row r="184" spans="1:23" ht="20.100000000000001" customHeight="1" x14ac:dyDescent="0.3">
      <c r="A184" s="20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203" t="str">
        <f>IF(ISBLANK(Table35[[#This Row],[Paid to Date]]),"",DATE(YEAR(Table35[[#This Row],[Paid to Date]]),MONTH(Table35[[#This Row],[Paid to Date]]),DAY(Table35[[#This Row],[Paid to Date]])+90))</f>
        <v/>
      </c>
      <c r="M184" s="15"/>
      <c r="N184" s="15"/>
      <c r="O184" s="15"/>
      <c r="P184" s="203" t="str">
        <f>IFERROR(DATE(YEAR(Table35[[#This Row],[Lapsed Date]]),MONTH(Table35[[#This Row],[Lapsed Date]]),DAY(Table35[[#This Row],[Lapsed Date]])+20),"")</f>
        <v/>
      </c>
      <c r="Q184" s="203" t="str">
        <f>IFERROR(EDATE(Table35[[#This Row],[Lapsed Date]],12),"")</f>
        <v/>
      </c>
      <c r="R184" s="203" t="str">
        <f>IFERROR(EDATE(Table35[[#This Row],[Lapsed Date]],24),"")</f>
        <v/>
      </c>
      <c r="S184" s="205">
        <f ca="1">DATEDIF(Table35[[#This Row],[Paid to Date]],TODAY(), "M")</f>
        <v>1516</v>
      </c>
      <c r="T184" s="203">
        <f ca="1">Table35[[#This Row],[Number of Monthly premiums missing]]*(Table35[[#This Row],[Lapsed API]]/12)</f>
        <v>0</v>
      </c>
      <c r="U184" s="204">
        <f>(Table35[[#This Row],[Lapsed API]]/12)*3</f>
        <v>0</v>
      </c>
      <c r="V184" s="15"/>
      <c r="W184" s="19"/>
    </row>
    <row r="185" spans="1:23" ht="20.100000000000001" customHeight="1" x14ac:dyDescent="0.3">
      <c r="A185" s="20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203" t="str">
        <f>IF(ISBLANK(Table35[[#This Row],[Paid to Date]]),"",DATE(YEAR(Table35[[#This Row],[Paid to Date]]),MONTH(Table35[[#This Row],[Paid to Date]]),DAY(Table35[[#This Row],[Paid to Date]])+90))</f>
        <v/>
      </c>
      <c r="M185" s="15"/>
      <c r="N185" s="15"/>
      <c r="O185" s="15"/>
      <c r="P185" s="203" t="str">
        <f>IFERROR(DATE(YEAR(Table35[[#This Row],[Lapsed Date]]),MONTH(Table35[[#This Row],[Lapsed Date]]),DAY(Table35[[#This Row],[Lapsed Date]])+20),"")</f>
        <v/>
      </c>
      <c r="Q185" s="203" t="str">
        <f>IFERROR(EDATE(Table35[[#This Row],[Lapsed Date]],12),"")</f>
        <v/>
      </c>
      <c r="R185" s="203" t="str">
        <f>IFERROR(EDATE(Table35[[#This Row],[Lapsed Date]],24),"")</f>
        <v/>
      </c>
      <c r="S185" s="205">
        <f ca="1">DATEDIF(Table35[[#This Row],[Paid to Date]],TODAY(), "M")</f>
        <v>1516</v>
      </c>
      <c r="T185" s="203">
        <f ca="1">Table35[[#This Row],[Number of Monthly premiums missing]]*(Table35[[#This Row],[Lapsed API]]/12)</f>
        <v>0</v>
      </c>
      <c r="U185" s="204">
        <f>(Table35[[#This Row],[Lapsed API]]/12)*3</f>
        <v>0</v>
      </c>
      <c r="V185" s="15"/>
      <c r="W185" s="19"/>
    </row>
    <row r="186" spans="1:23" ht="20.100000000000001" customHeight="1" x14ac:dyDescent="0.3">
      <c r="A186" s="20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203" t="str">
        <f>IF(ISBLANK(Table35[[#This Row],[Paid to Date]]),"",DATE(YEAR(Table35[[#This Row],[Paid to Date]]),MONTH(Table35[[#This Row],[Paid to Date]]),DAY(Table35[[#This Row],[Paid to Date]])+90))</f>
        <v/>
      </c>
      <c r="M186" s="15"/>
      <c r="N186" s="15"/>
      <c r="O186" s="15"/>
      <c r="P186" s="203" t="str">
        <f>IFERROR(DATE(YEAR(Table35[[#This Row],[Lapsed Date]]),MONTH(Table35[[#This Row],[Lapsed Date]]),DAY(Table35[[#This Row],[Lapsed Date]])+20),"")</f>
        <v/>
      </c>
      <c r="Q186" s="203" t="str">
        <f>IFERROR(EDATE(Table35[[#This Row],[Lapsed Date]],12),"")</f>
        <v/>
      </c>
      <c r="R186" s="203" t="str">
        <f>IFERROR(EDATE(Table35[[#This Row],[Lapsed Date]],24),"")</f>
        <v/>
      </c>
      <c r="S186" s="205">
        <f ca="1">DATEDIF(Table35[[#This Row],[Paid to Date]],TODAY(), "M")</f>
        <v>1516</v>
      </c>
      <c r="T186" s="203">
        <f ca="1">Table35[[#This Row],[Number of Monthly premiums missing]]*(Table35[[#This Row],[Lapsed API]]/12)</f>
        <v>0</v>
      </c>
      <c r="U186" s="204">
        <f>(Table35[[#This Row],[Lapsed API]]/12)*3</f>
        <v>0</v>
      </c>
      <c r="V186" s="15"/>
      <c r="W186" s="19"/>
    </row>
    <row r="187" spans="1:23" ht="20.100000000000001" customHeight="1" x14ac:dyDescent="0.3">
      <c r="A187" s="20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203" t="str">
        <f>IF(ISBLANK(Table35[[#This Row],[Paid to Date]]),"",DATE(YEAR(Table35[[#This Row],[Paid to Date]]),MONTH(Table35[[#This Row],[Paid to Date]]),DAY(Table35[[#This Row],[Paid to Date]])+90))</f>
        <v/>
      </c>
      <c r="M187" s="15"/>
      <c r="N187" s="15"/>
      <c r="O187" s="15"/>
      <c r="P187" s="203" t="str">
        <f>IFERROR(DATE(YEAR(Table35[[#This Row],[Lapsed Date]]),MONTH(Table35[[#This Row],[Lapsed Date]]),DAY(Table35[[#This Row],[Lapsed Date]])+20),"")</f>
        <v/>
      </c>
      <c r="Q187" s="203" t="str">
        <f>IFERROR(EDATE(Table35[[#This Row],[Lapsed Date]],12),"")</f>
        <v/>
      </c>
      <c r="R187" s="203" t="str">
        <f>IFERROR(EDATE(Table35[[#This Row],[Lapsed Date]],24),"")</f>
        <v/>
      </c>
      <c r="S187" s="205">
        <f ca="1">DATEDIF(Table35[[#This Row],[Paid to Date]],TODAY(), "M")</f>
        <v>1516</v>
      </c>
      <c r="T187" s="203">
        <f ca="1">Table35[[#This Row],[Number of Monthly premiums missing]]*(Table35[[#This Row],[Lapsed API]]/12)</f>
        <v>0</v>
      </c>
      <c r="U187" s="204">
        <f>(Table35[[#This Row],[Lapsed API]]/12)*3</f>
        <v>0</v>
      </c>
      <c r="V187" s="15"/>
      <c r="W187" s="19"/>
    </row>
    <row r="188" spans="1:23" ht="20.100000000000001" customHeight="1" x14ac:dyDescent="0.3">
      <c r="A188" s="20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203" t="str">
        <f>IF(ISBLANK(Table35[[#This Row],[Paid to Date]]),"",DATE(YEAR(Table35[[#This Row],[Paid to Date]]),MONTH(Table35[[#This Row],[Paid to Date]]),DAY(Table35[[#This Row],[Paid to Date]])+90))</f>
        <v/>
      </c>
      <c r="M188" s="15"/>
      <c r="N188" s="15"/>
      <c r="O188" s="15"/>
      <c r="P188" s="203" t="str">
        <f>IFERROR(DATE(YEAR(Table35[[#This Row],[Lapsed Date]]),MONTH(Table35[[#This Row],[Lapsed Date]]),DAY(Table35[[#This Row],[Lapsed Date]])+20),"")</f>
        <v/>
      </c>
      <c r="Q188" s="203" t="str">
        <f>IFERROR(EDATE(Table35[[#This Row],[Lapsed Date]],12),"")</f>
        <v/>
      </c>
      <c r="R188" s="203" t="str">
        <f>IFERROR(EDATE(Table35[[#This Row],[Lapsed Date]],24),"")</f>
        <v/>
      </c>
      <c r="S188" s="205">
        <f ca="1">DATEDIF(Table35[[#This Row],[Paid to Date]],TODAY(), "M")</f>
        <v>1516</v>
      </c>
      <c r="T188" s="203">
        <f ca="1">Table35[[#This Row],[Number of Monthly premiums missing]]*(Table35[[#This Row],[Lapsed API]]/12)</f>
        <v>0</v>
      </c>
      <c r="U188" s="204">
        <f>(Table35[[#This Row],[Lapsed API]]/12)*3</f>
        <v>0</v>
      </c>
      <c r="V188" s="15"/>
      <c r="W188" s="19"/>
    </row>
    <row r="189" spans="1:23" ht="20.100000000000001" customHeight="1" x14ac:dyDescent="0.3">
      <c r="A189" s="20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203" t="str">
        <f>IF(ISBLANK(Table35[[#This Row],[Paid to Date]]),"",DATE(YEAR(Table35[[#This Row],[Paid to Date]]),MONTH(Table35[[#This Row],[Paid to Date]]),DAY(Table35[[#This Row],[Paid to Date]])+90))</f>
        <v/>
      </c>
      <c r="M189" s="15"/>
      <c r="N189" s="15"/>
      <c r="O189" s="15"/>
      <c r="P189" s="203" t="str">
        <f>IFERROR(DATE(YEAR(Table35[[#This Row],[Lapsed Date]]),MONTH(Table35[[#This Row],[Lapsed Date]]),DAY(Table35[[#This Row],[Lapsed Date]])+20),"")</f>
        <v/>
      </c>
      <c r="Q189" s="203" t="str">
        <f>IFERROR(EDATE(Table35[[#This Row],[Lapsed Date]],12),"")</f>
        <v/>
      </c>
      <c r="R189" s="203" t="str">
        <f>IFERROR(EDATE(Table35[[#This Row],[Lapsed Date]],24),"")</f>
        <v/>
      </c>
      <c r="S189" s="205">
        <f ca="1">DATEDIF(Table35[[#This Row],[Paid to Date]],TODAY(), "M")</f>
        <v>1516</v>
      </c>
      <c r="T189" s="203">
        <f ca="1">Table35[[#This Row],[Number of Monthly premiums missing]]*(Table35[[#This Row],[Lapsed API]]/12)</f>
        <v>0</v>
      </c>
      <c r="U189" s="204">
        <f>(Table35[[#This Row],[Lapsed API]]/12)*3</f>
        <v>0</v>
      </c>
      <c r="V189" s="15"/>
      <c r="W189" s="19"/>
    </row>
    <row r="190" spans="1:23" ht="20.100000000000001" customHeight="1" x14ac:dyDescent="0.3">
      <c r="A190" s="20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203" t="str">
        <f>IF(ISBLANK(Table35[[#This Row],[Paid to Date]]),"",DATE(YEAR(Table35[[#This Row],[Paid to Date]]),MONTH(Table35[[#This Row],[Paid to Date]]),DAY(Table35[[#This Row],[Paid to Date]])+90))</f>
        <v/>
      </c>
      <c r="M190" s="15"/>
      <c r="N190" s="15"/>
      <c r="O190" s="15"/>
      <c r="P190" s="203" t="str">
        <f>IFERROR(DATE(YEAR(Table35[[#This Row],[Lapsed Date]]),MONTH(Table35[[#This Row],[Lapsed Date]]),DAY(Table35[[#This Row],[Lapsed Date]])+20),"")</f>
        <v/>
      </c>
      <c r="Q190" s="203" t="str">
        <f>IFERROR(EDATE(Table35[[#This Row],[Lapsed Date]],12),"")</f>
        <v/>
      </c>
      <c r="R190" s="203" t="str">
        <f>IFERROR(EDATE(Table35[[#This Row],[Lapsed Date]],24),"")</f>
        <v/>
      </c>
      <c r="S190" s="205">
        <f ca="1">DATEDIF(Table35[[#This Row],[Paid to Date]],TODAY(), "M")</f>
        <v>1516</v>
      </c>
      <c r="T190" s="203">
        <f ca="1">Table35[[#This Row],[Number of Monthly premiums missing]]*(Table35[[#This Row],[Lapsed API]]/12)</f>
        <v>0</v>
      </c>
      <c r="U190" s="204">
        <f>(Table35[[#This Row],[Lapsed API]]/12)*3</f>
        <v>0</v>
      </c>
      <c r="V190" s="15"/>
      <c r="W190" s="19"/>
    </row>
    <row r="191" spans="1:23" ht="20.100000000000001" customHeight="1" x14ac:dyDescent="0.3">
      <c r="A191" s="20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203" t="str">
        <f>IF(ISBLANK(Table35[[#This Row],[Paid to Date]]),"",DATE(YEAR(Table35[[#This Row],[Paid to Date]]),MONTH(Table35[[#This Row],[Paid to Date]]),DAY(Table35[[#This Row],[Paid to Date]])+90))</f>
        <v/>
      </c>
      <c r="M191" s="15"/>
      <c r="N191" s="15"/>
      <c r="O191" s="15"/>
      <c r="P191" s="203" t="str">
        <f>IFERROR(DATE(YEAR(Table35[[#This Row],[Lapsed Date]]),MONTH(Table35[[#This Row],[Lapsed Date]]),DAY(Table35[[#This Row],[Lapsed Date]])+20),"")</f>
        <v/>
      </c>
      <c r="Q191" s="203" t="str">
        <f>IFERROR(EDATE(Table35[[#This Row],[Lapsed Date]],12),"")</f>
        <v/>
      </c>
      <c r="R191" s="203" t="str">
        <f>IFERROR(EDATE(Table35[[#This Row],[Lapsed Date]],24),"")</f>
        <v/>
      </c>
      <c r="S191" s="205">
        <f ca="1">DATEDIF(Table35[[#This Row],[Paid to Date]],TODAY(), "M")</f>
        <v>1516</v>
      </c>
      <c r="T191" s="203">
        <f ca="1">Table35[[#This Row],[Number of Monthly premiums missing]]*(Table35[[#This Row],[Lapsed API]]/12)</f>
        <v>0</v>
      </c>
      <c r="U191" s="204">
        <f>(Table35[[#This Row],[Lapsed API]]/12)*3</f>
        <v>0</v>
      </c>
      <c r="V191" s="15"/>
      <c r="W191" s="19"/>
    </row>
    <row r="192" spans="1:23" ht="20.100000000000001" customHeight="1" x14ac:dyDescent="0.3">
      <c r="A192" s="20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203" t="str">
        <f>IF(ISBLANK(Table35[[#This Row],[Paid to Date]]),"",DATE(YEAR(Table35[[#This Row],[Paid to Date]]),MONTH(Table35[[#This Row],[Paid to Date]]),DAY(Table35[[#This Row],[Paid to Date]])+90))</f>
        <v/>
      </c>
      <c r="M192" s="15"/>
      <c r="N192" s="15"/>
      <c r="O192" s="15"/>
      <c r="P192" s="203" t="str">
        <f>IFERROR(DATE(YEAR(Table35[[#This Row],[Lapsed Date]]),MONTH(Table35[[#This Row],[Lapsed Date]]),DAY(Table35[[#This Row],[Lapsed Date]])+20),"")</f>
        <v/>
      </c>
      <c r="Q192" s="203" t="str">
        <f>IFERROR(EDATE(Table35[[#This Row],[Lapsed Date]],12),"")</f>
        <v/>
      </c>
      <c r="R192" s="203" t="str">
        <f>IFERROR(EDATE(Table35[[#This Row],[Lapsed Date]],24),"")</f>
        <v/>
      </c>
      <c r="S192" s="205">
        <f ca="1">DATEDIF(Table35[[#This Row],[Paid to Date]],TODAY(), "M")</f>
        <v>1516</v>
      </c>
      <c r="T192" s="203">
        <f ca="1">Table35[[#This Row],[Number of Monthly premiums missing]]*(Table35[[#This Row],[Lapsed API]]/12)</f>
        <v>0</v>
      </c>
      <c r="U192" s="204">
        <f>(Table35[[#This Row],[Lapsed API]]/12)*3</f>
        <v>0</v>
      </c>
      <c r="V192" s="15"/>
      <c r="W192" s="19"/>
    </row>
    <row r="193" spans="1:23" ht="20.100000000000001" customHeight="1" x14ac:dyDescent="0.3">
      <c r="A193" s="20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203" t="str">
        <f>IF(ISBLANK(Table35[[#This Row],[Paid to Date]]),"",DATE(YEAR(Table35[[#This Row],[Paid to Date]]),MONTH(Table35[[#This Row],[Paid to Date]]),DAY(Table35[[#This Row],[Paid to Date]])+90))</f>
        <v/>
      </c>
      <c r="M193" s="15"/>
      <c r="N193" s="15"/>
      <c r="O193" s="15"/>
      <c r="P193" s="203" t="str">
        <f>IFERROR(DATE(YEAR(Table35[[#This Row],[Lapsed Date]]),MONTH(Table35[[#This Row],[Lapsed Date]]),DAY(Table35[[#This Row],[Lapsed Date]])+20),"")</f>
        <v/>
      </c>
      <c r="Q193" s="203" t="str">
        <f>IFERROR(EDATE(Table35[[#This Row],[Lapsed Date]],12),"")</f>
        <v/>
      </c>
      <c r="R193" s="203" t="str">
        <f>IFERROR(EDATE(Table35[[#This Row],[Lapsed Date]],24),"")</f>
        <v/>
      </c>
      <c r="S193" s="205">
        <f ca="1">DATEDIF(Table35[[#This Row],[Paid to Date]],TODAY(), "M")</f>
        <v>1516</v>
      </c>
      <c r="T193" s="203">
        <f ca="1">Table35[[#This Row],[Number of Monthly premiums missing]]*(Table35[[#This Row],[Lapsed API]]/12)</f>
        <v>0</v>
      </c>
      <c r="U193" s="204">
        <f>(Table35[[#This Row],[Lapsed API]]/12)*3</f>
        <v>0</v>
      </c>
      <c r="V193" s="15"/>
      <c r="W193" s="19"/>
    </row>
    <row r="194" spans="1:23" ht="20.100000000000001" customHeight="1" x14ac:dyDescent="0.3">
      <c r="A194" s="20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203" t="str">
        <f>IF(ISBLANK(Table35[[#This Row],[Paid to Date]]),"",DATE(YEAR(Table35[[#This Row],[Paid to Date]]),MONTH(Table35[[#This Row],[Paid to Date]]),DAY(Table35[[#This Row],[Paid to Date]])+90))</f>
        <v/>
      </c>
      <c r="M194" s="15"/>
      <c r="N194" s="15"/>
      <c r="O194" s="15"/>
      <c r="P194" s="203" t="str">
        <f>IFERROR(DATE(YEAR(Table35[[#This Row],[Lapsed Date]]),MONTH(Table35[[#This Row],[Lapsed Date]]),DAY(Table35[[#This Row],[Lapsed Date]])+20),"")</f>
        <v/>
      </c>
      <c r="Q194" s="203" t="str">
        <f>IFERROR(EDATE(Table35[[#This Row],[Lapsed Date]],12),"")</f>
        <v/>
      </c>
      <c r="R194" s="203" t="str">
        <f>IFERROR(EDATE(Table35[[#This Row],[Lapsed Date]],24),"")</f>
        <v/>
      </c>
      <c r="S194" s="205">
        <f ca="1">DATEDIF(Table35[[#This Row],[Paid to Date]],TODAY(), "M")</f>
        <v>1516</v>
      </c>
      <c r="T194" s="203">
        <f ca="1">Table35[[#This Row],[Number of Monthly premiums missing]]*(Table35[[#This Row],[Lapsed API]]/12)</f>
        <v>0</v>
      </c>
      <c r="U194" s="204">
        <f>(Table35[[#This Row],[Lapsed API]]/12)*3</f>
        <v>0</v>
      </c>
      <c r="V194" s="15"/>
      <c r="W194" s="19"/>
    </row>
    <row r="195" spans="1:23" ht="20.100000000000001" customHeight="1" x14ac:dyDescent="0.3">
      <c r="A195" s="20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203" t="str">
        <f>IF(ISBLANK(Table35[[#This Row],[Paid to Date]]),"",DATE(YEAR(Table35[[#This Row],[Paid to Date]]),MONTH(Table35[[#This Row],[Paid to Date]]),DAY(Table35[[#This Row],[Paid to Date]])+90))</f>
        <v/>
      </c>
      <c r="M195" s="15"/>
      <c r="N195" s="15"/>
      <c r="O195" s="15"/>
      <c r="P195" s="203" t="str">
        <f>IFERROR(DATE(YEAR(Table35[[#This Row],[Lapsed Date]]),MONTH(Table35[[#This Row],[Lapsed Date]]),DAY(Table35[[#This Row],[Lapsed Date]])+20),"")</f>
        <v/>
      </c>
      <c r="Q195" s="203" t="str">
        <f>IFERROR(EDATE(Table35[[#This Row],[Lapsed Date]],12),"")</f>
        <v/>
      </c>
      <c r="R195" s="203" t="str">
        <f>IFERROR(EDATE(Table35[[#This Row],[Lapsed Date]],24),"")</f>
        <v/>
      </c>
      <c r="S195" s="205">
        <f ca="1">DATEDIF(Table35[[#This Row],[Paid to Date]],TODAY(), "M")</f>
        <v>1516</v>
      </c>
      <c r="T195" s="203">
        <f ca="1">Table35[[#This Row],[Number of Monthly premiums missing]]*(Table35[[#This Row],[Lapsed API]]/12)</f>
        <v>0</v>
      </c>
      <c r="U195" s="204">
        <f>(Table35[[#This Row],[Lapsed API]]/12)*3</f>
        <v>0</v>
      </c>
      <c r="V195" s="15"/>
      <c r="W195" s="19"/>
    </row>
    <row r="196" spans="1:23" ht="20.100000000000001" customHeight="1" x14ac:dyDescent="0.3">
      <c r="A196" s="20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203" t="str">
        <f>IF(ISBLANK(Table35[[#This Row],[Paid to Date]]),"",DATE(YEAR(Table35[[#This Row],[Paid to Date]]),MONTH(Table35[[#This Row],[Paid to Date]]),DAY(Table35[[#This Row],[Paid to Date]])+90))</f>
        <v/>
      </c>
      <c r="M196" s="15"/>
      <c r="N196" s="15"/>
      <c r="O196" s="15"/>
      <c r="P196" s="203" t="str">
        <f>IFERROR(DATE(YEAR(Table35[[#This Row],[Lapsed Date]]),MONTH(Table35[[#This Row],[Lapsed Date]]),DAY(Table35[[#This Row],[Lapsed Date]])+20),"")</f>
        <v/>
      </c>
      <c r="Q196" s="203" t="str">
        <f>IFERROR(EDATE(Table35[[#This Row],[Lapsed Date]],12),"")</f>
        <v/>
      </c>
      <c r="R196" s="203" t="str">
        <f>IFERROR(EDATE(Table35[[#This Row],[Lapsed Date]],24),"")</f>
        <v/>
      </c>
      <c r="S196" s="205">
        <f ca="1">DATEDIF(Table35[[#This Row],[Paid to Date]],TODAY(), "M")</f>
        <v>1516</v>
      </c>
      <c r="T196" s="203">
        <f ca="1">Table35[[#This Row],[Number of Monthly premiums missing]]*(Table35[[#This Row],[Lapsed API]]/12)</f>
        <v>0</v>
      </c>
      <c r="U196" s="204">
        <f>(Table35[[#This Row],[Lapsed API]]/12)*3</f>
        <v>0</v>
      </c>
      <c r="V196" s="15"/>
      <c r="W196" s="19"/>
    </row>
    <row r="197" spans="1:23" ht="20.100000000000001" customHeight="1" x14ac:dyDescent="0.3">
      <c r="A197" s="20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203" t="str">
        <f>IF(ISBLANK(Table35[[#This Row],[Paid to Date]]),"",DATE(YEAR(Table35[[#This Row],[Paid to Date]]),MONTH(Table35[[#This Row],[Paid to Date]]),DAY(Table35[[#This Row],[Paid to Date]])+90))</f>
        <v/>
      </c>
      <c r="M197" s="15"/>
      <c r="N197" s="15"/>
      <c r="O197" s="15"/>
      <c r="P197" s="203" t="str">
        <f>IFERROR(DATE(YEAR(Table35[[#This Row],[Lapsed Date]]),MONTH(Table35[[#This Row],[Lapsed Date]]),DAY(Table35[[#This Row],[Lapsed Date]])+20),"")</f>
        <v/>
      </c>
      <c r="Q197" s="203" t="str">
        <f>IFERROR(EDATE(Table35[[#This Row],[Lapsed Date]],12),"")</f>
        <v/>
      </c>
      <c r="R197" s="203" t="str">
        <f>IFERROR(EDATE(Table35[[#This Row],[Lapsed Date]],24),"")</f>
        <v/>
      </c>
      <c r="S197" s="205">
        <f ca="1">DATEDIF(Table35[[#This Row],[Paid to Date]],TODAY(), "M")</f>
        <v>1516</v>
      </c>
      <c r="T197" s="203">
        <f ca="1">Table35[[#This Row],[Number of Monthly premiums missing]]*(Table35[[#This Row],[Lapsed API]]/12)</f>
        <v>0</v>
      </c>
      <c r="U197" s="204">
        <f>(Table35[[#This Row],[Lapsed API]]/12)*3</f>
        <v>0</v>
      </c>
      <c r="V197" s="15"/>
      <c r="W197" s="19"/>
    </row>
    <row r="198" spans="1:23" ht="20.100000000000001" customHeight="1" x14ac:dyDescent="0.3">
      <c r="A198" s="20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203" t="str">
        <f>IF(ISBLANK(Table35[[#This Row],[Paid to Date]]),"",DATE(YEAR(Table35[[#This Row],[Paid to Date]]),MONTH(Table35[[#This Row],[Paid to Date]]),DAY(Table35[[#This Row],[Paid to Date]])+90))</f>
        <v/>
      </c>
      <c r="M198" s="15"/>
      <c r="N198" s="15"/>
      <c r="O198" s="15"/>
      <c r="P198" s="203" t="str">
        <f>IFERROR(DATE(YEAR(Table35[[#This Row],[Lapsed Date]]),MONTH(Table35[[#This Row],[Lapsed Date]]),DAY(Table35[[#This Row],[Lapsed Date]])+20),"")</f>
        <v/>
      </c>
      <c r="Q198" s="203" t="str">
        <f>IFERROR(EDATE(Table35[[#This Row],[Lapsed Date]],12),"")</f>
        <v/>
      </c>
      <c r="R198" s="203" t="str">
        <f>IFERROR(EDATE(Table35[[#This Row],[Lapsed Date]],24),"")</f>
        <v/>
      </c>
      <c r="S198" s="205">
        <f ca="1">DATEDIF(Table35[[#This Row],[Paid to Date]],TODAY(), "M")</f>
        <v>1516</v>
      </c>
      <c r="T198" s="203">
        <f ca="1">Table35[[#This Row],[Number of Monthly premiums missing]]*(Table35[[#This Row],[Lapsed API]]/12)</f>
        <v>0</v>
      </c>
      <c r="U198" s="204">
        <f>(Table35[[#This Row],[Lapsed API]]/12)*3</f>
        <v>0</v>
      </c>
      <c r="V198" s="15"/>
      <c r="W198" s="19"/>
    </row>
    <row r="199" spans="1:23" ht="20.100000000000001" customHeight="1" x14ac:dyDescent="0.3">
      <c r="A199" s="20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203" t="str">
        <f>IF(ISBLANK(Table35[[#This Row],[Paid to Date]]),"",DATE(YEAR(Table35[[#This Row],[Paid to Date]]),MONTH(Table35[[#This Row],[Paid to Date]]),DAY(Table35[[#This Row],[Paid to Date]])+90))</f>
        <v/>
      </c>
      <c r="M199" s="15"/>
      <c r="N199" s="15"/>
      <c r="O199" s="15"/>
      <c r="P199" s="203" t="str">
        <f>IFERROR(DATE(YEAR(Table35[[#This Row],[Lapsed Date]]),MONTH(Table35[[#This Row],[Lapsed Date]]),DAY(Table35[[#This Row],[Lapsed Date]])+20),"")</f>
        <v/>
      </c>
      <c r="Q199" s="203" t="str">
        <f>IFERROR(EDATE(Table35[[#This Row],[Lapsed Date]],12),"")</f>
        <v/>
      </c>
      <c r="R199" s="203" t="str">
        <f>IFERROR(EDATE(Table35[[#This Row],[Lapsed Date]],24),"")</f>
        <v/>
      </c>
      <c r="S199" s="205">
        <f ca="1">DATEDIF(Table35[[#This Row],[Paid to Date]],TODAY(), "M")</f>
        <v>1516</v>
      </c>
      <c r="T199" s="203">
        <f ca="1">Table35[[#This Row],[Number of Monthly premiums missing]]*(Table35[[#This Row],[Lapsed API]]/12)</f>
        <v>0</v>
      </c>
      <c r="U199" s="204">
        <f>(Table35[[#This Row],[Lapsed API]]/12)*3</f>
        <v>0</v>
      </c>
      <c r="V199" s="15"/>
      <c r="W199" s="19"/>
    </row>
    <row r="200" spans="1:23" ht="20.100000000000001" customHeight="1" x14ac:dyDescent="0.3">
      <c r="A200" s="20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203" t="str">
        <f>IF(ISBLANK(Table35[[#This Row],[Paid to Date]]),"",DATE(YEAR(Table35[[#This Row],[Paid to Date]]),MONTH(Table35[[#This Row],[Paid to Date]]),DAY(Table35[[#This Row],[Paid to Date]])+90))</f>
        <v/>
      </c>
      <c r="M200" s="15"/>
      <c r="N200" s="15"/>
      <c r="O200" s="15"/>
      <c r="P200" s="203" t="str">
        <f>IFERROR(DATE(YEAR(Table35[[#This Row],[Lapsed Date]]),MONTH(Table35[[#This Row],[Lapsed Date]]),DAY(Table35[[#This Row],[Lapsed Date]])+20),"")</f>
        <v/>
      </c>
      <c r="Q200" s="203" t="str">
        <f>IFERROR(EDATE(Table35[[#This Row],[Lapsed Date]],12),"")</f>
        <v/>
      </c>
      <c r="R200" s="203" t="str">
        <f>IFERROR(EDATE(Table35[[#This Row],[Lapsed Date]],24),"")</f>
        <v/>
      </c>
      <c r="S200" s="205">
        <f ca="1">DATEDIF(Table35[[#This Row],[Paid to Date]],TODAY(), "M")</f>
        <v>1516</v>
      </c>
      <c r="T200" s="203">
        <f ca="1">Table35[[#This Row],[Number of Monthly premiums missing]]*(Table35[[#This Row],[Lapsed API]]/12)</f>
        <v>0</v>
      </c>
      <c r="U200" s="204">
        <f>(Table35[[#This Row],[Lapsed API]]/12)*3</f>
        <v>0</v>
      </c>
      <c r="V200" s="15"/>
      <c r="W200" s="19"/>
    </row>
    <row r="201" spans="1:23" ht="20.100000000000001" customHeight="1" x14ac:dyDescent="0.3">
      <c r="A201" s="20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203" t="str">
        <f>IF(ISBLANK(Table35[[#This Row],[Paid to Date]]),"",DATE(YEAR(Table35[[#This Row],[Paid to Date]]),MONTH(Table35[[#This Row],[Paid to Date]]),DAY(Table35[[#This Row],[Paid to Date]])+90))</f>
        <v/>
      </c>
      <c r="M201" s="15"/>
      <c r="N201" s="15"/>
      <c r="O201" s="15"/>
      <c r="P201" s="203" t="str">
        <f>IFERROR(DATE(YEAR(Table35[[#This Row],[Lapsed Date]]),MONTH(Table35[[#This Row],[Lapsed Date]]),DAY(Table35[[#This Row],[Lapsed Date]])+20),"")</f>
        <v/>
      </c>
      <c r="Q201" s="203" t="str">
        <f>IFERROR(EDATE(Table35[[#This Row],[Lapsed Date]],12),"")</f>
        <v/>
      </c>
      <c r="R201" s="203" t="str">
        <f>IFERROR(EDATE(Table35[[#This Row],[Lapsed Date]],24),"")</f>
        <v/>
      </c>
      <c r="S201" s="205">
        <f ca="1">DATEDIF(Table35[[#This Row],[Paid to Date]],TODAY(), "M")</f>
        <v>1516</v>
      </c>
      <c r="T201" s="203">
        <f ca="1">Table35[[#This Row],[Number of Monthly premiums missing]]*(Table35[[#This Row],[Lapsed API]]/12)</f>
        <v>0</v>
      </c>
      <c r="U201" s="204">
        <f>(Table35[[#This Row],[Lapsed API]]/12)*3</f>
        <v>0</v>
      </c>
      <c r="V201" s="15"/>
      <c r="W201" s="19"/>
    </row>
    <row r="202" spans="1:23" ht="20.100000000000001" customHeight="1" x14ac:dyDescent="0.3">
      <c r="A202" s="20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203" t="str">
        <f>IF(ISBLANK(Table35[[#This Row],[Paid to Date]]),"",DATE(YEAR(Table35[[#This Row],[Paid to Date]]),MONTH(Table35[[#This Row],[Paid to Date]]),DAY(Table35[[#This Row],[Paid to Date]])+90))</f>
        <v/>
      </c>
      <c r="M202" s="15"/>
      <c r="N202" s="15"/>
      <c r="O202" s="15"/>
      <c r="P202" s="203" t="str">
        <f>IFERROR(DATE(YEAR(Table35[[#This Row],[Lapsed Date]]),MONTH(Table35[[#This Row],[Lapsed Date]]),DAY(Table35[[#This Row],[Lapsed Date]])+20),"")</f>
        <v/>
      </c>
      <c r="Q202" s="203" t="str">
        <f>IFERROR(EDATE(Table35[[#This Row],[Lapsed Date]],12),"")</f>
        <v/>
      </c>
      <c r="R202" s="203" t="str">
        <f>IFERROR(EDATE(Table35[[#This Row],[Lapsed Date]],24),"")</f>
        <v/>
      </c>
      <c r="S202" s="205">
        <f ca="1">DATEDIF(Table35[[#This Row],[Paid to Date]],TODAY(), "M")</f>
        <v>1516</v>
      </c>
      <c r="T202" s="203">
        <f ca="1">Table35[[#This Row],[Number of Monthly premiums missing]]*(Table35[[#This Row],[Lapsed API]]/12)</f>
        <v>0</v>
      </c>
      <c r="U202" s="204">
        <f>(Table35[[#This Row],[Lapsed API]]/12)*3</f>
        <v>0</v>
      </c>
      <c r="V202" s="15"/>
      <c r="W202" s="19"/>
    </row>
    <row r="203" spans="1:23" ht="20.100000000000001" customHeight="1" x14ac:dyDescent="0.3">
      <c r="A203" s="20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203" t="str">
        <f>IF(ISBLANK(Table35[[#This Row],[Paid to Date]]),"",DATE(YEAR(Table35[[#This Row],[Paid to Date]]),MONTH(Table35[[#This Row],[Paid to Date]]),DAY(Table35[[#This Row],[Paid to Date]])+90))</f>
        <v/>
      </c>
      <c r="M203" s="15"/>
      <c r="N203" s="15"/>
      <c r="O203" s="15"/>
      <c r="P203" s="203" t="str">
        <f>IFERROR(DATE(YEAR(Table35[[#This Row],[Lapsed Date]]),MONTH(Table35[[#This Row],[Lapsed Date]]),DAY(Table35[[#This Row],[Lapsed Date]])+20),"")</f>
        <v/>
      </c>
      <c r="Q203" s="203" t="str">
        <f>IFERROR(EDATE(Table35[[#This Row],[Lapsed Date]],12),"")</f>
        <v/>
      </c>
      <c r="R203" s="203" t="str">
        <f>IFERROR(EDATE(Table35[[#This Row],[Lapsed Date]],24),"")</f>
        <v/>
      </c>
      <c r="S203" s="205">
        <f ca="1">DATEDIF(Table35[[#This Row],[Paid to Date]],TODAY(), "M")</f>
        <v>1516</v>
      </c>
      <c r="T203" s="203">
        <f ca="1">Table35[[#This Row],[Number of Monthly premiums missing]]*(Table35[[#This Row],[Lapsed API]]/12)</f>
        <v>0</v>
      </c>
      <c r="U203" s="204">
        <f>(Table35[[#This Row],[Lapsed API]]/12)*3</f>
        <v>0</v>
      </c>
      <c r="V203" s="15"/>
      <c r="W203" s="19"/>
    </row>
    <row r="204" spans="1:23" ht="20.100000000000001" customHeight="1" x14ac:dyDescent="0.3">
      <c r="A204" s="20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203" t="str">
        <f>IF(ISBLANK(Table35[[#This Row],[Paid to Date]]),"",DATE(YEAR(Table35[[#This Row],[Paid to Date]]),MONTH(Table35[[#This Row],[Paid to Date]]),DAY(Table35[[#This Row],[Paid to Date]])+90))</f>
        <v/>
      </c>
      <c r="M204" s="15"/>
      <c r="N204" s="15"/>
      <c r="O204" s="15"/>
      <c r="P204" s="203" t="str">
        <f>IFERROR(DATE(YEAR(Table35[[#This Row],[Lapsed Date]]),MONTH(Table35[[#This Row],[Lapsed Date]]),DAY(Table35[[#This Row],[Lapsed Date]])+20),"")</f>
        <v/>
      </c>
      <c r="Q204" s="203" t="str">
        <f>IFERROR(EDATE(Table35[[#This Row],[Lapsed Date]],12),"")</f>
        <v/>
      </c>
      <c r="R204" s="203" t="str">
        <f>IFERROR(EDATE(Table35[[#This Row],[Lapsed Date]],24),"")</f>
        <v/>
      </c>
      <c r="S204" s="205">
        <f ca="1">DATEDIF(Table35[[#This Row],[Paid to Date]],TODAY(), "M")</f>
        <v>1516</v>
      </c>
      <c r="T204" s="203">
        <f ca="1">Table35[[#This Row],[Number of Monthly premiums missing]]*(Table35[[#This Row],[Lapsed API]]/12)</f>
        <v>0</v>
      </c>
      <c r="U204" s="204">
        <f>(Table35[[#This Row],[Lapsed API]]/12)*3</f>
        <v>0</v>
      </c>
      <c r="V204" s="15"/>
      <c r="W204" s="19"/>
    </row>
    <row r="205" spans="1:23" ht="20.100000000000001" customHeight="1" x14ac:dyDescent="0.3">
      <c r="A205" s="20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203" t="str">
        <f>IF(ISBLANK(Table35[[#This Row],[Paid to Date]]),"",DATE(YEAR(Table35[[#This Row],[Paid to Date]]),MONTH(Table35[[#This Row],[Paid to Date]]),DAY(Table35[[#This Row],[Paid to Date]])+90))</f>
        <v/>
      </c>
      <c r="M205" s="15"/>
      <c r="N205" s="15"/>
      <c r="O205" s="15"/>
      <c r="P205" s="203" t="str">
        <f>IFERROR(DATE(YEAR(Table35[[#This Row],[Lapsed Date]]),MONTH(Table35[[#This Row],[Lapsed Date]]),DAY(Table35[[#This Row],[Lapsed Date]])+20),"")</f>
        <v/>
      </c>
      <c r="Q205" s="203" t="str">
        <f>IFERROR(EDATE(Table35[[#This Row],[Lapsed Date]],12),"")</f>
        <v/>
      </c>
      <c r="R205" s="203" t="str">
        <f>IFERROR(EDATE(Table35[[#This Row],[Lapsed Date]],24),"")</f>
        <v/>
      </c>
      <c r="S205" s="205">
        <f ca="1">DATEDIF(Table35[[#This Row],[Paid to Date]],TODAY(), "M")</f>
        <v>1516</v>
      </c>
      <c r="T205" s="203">
        <f ca="1">Table35[[#This Row],[Number of Monthly premiums missing]]*(Table35[[#This Row],[Lapsed API]]/12)</f>
        <v>0</v>
      </c>
      <c r="U205" s="204">
        <f>(Table35[[#This Row],[Lapsed API]]/12)*3</f>
        <v>0</v>
      </c>
      <c r="V205" s="15"/>
      <c r="W205" s="19"/>
    </row>
    <row r="206" spans="1:23" ht="20.100000000000001" customHeight="1" x14ac:dyDescent="0.3">
      <c r="A206" s="20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203" t="str">
        <f>IF(ISBLANK(Table35[[#This Row],[Paid to Date]]),"",DATE(YEAR(Table35[[#This Row],[Paid to Date]]),MONTH(Table35[[#This Row],[Paid to Date]]),DAY(Table35[[#This Row],[Paid to Date]])+90))</f>
        <v/>
      </c>
      <c r="M206" s="15"/>
      <c r="N206" s="15"/>
      <c r="O206" s="15"/>
      <c r="P206" s="203" t="str">
        <f>IFERROR(DATE(YEAR(Table35[[#This Row],[Lapsed Date]]),MONTH(Table35[[#This Row],[Lapsed Date]]),DAY(Table35[[#This Row],[Lapsed Date]])+20),"")</f>
        <v/>
      </c>
      <c r="Q206" s="203" t="str">
        <f>IFERROR(EDATE(Table35[[#This Row],[Lapsed Date]],12),"")</f>
        <v/>
      </c>
      <c r="R206" s="203" t="str">
        <f>IFERROR(EDATE(Table35[[#This Row],[Lapsed Date]],24),"")</f>
        <v/>
      </c>
      <c r="S206" s="205">
        <f ca="1">DATEDIF(Table35[[#This Row],[Paid to Date]],TODAY(), "M")</f>
        <v>1516</v>
      </c>
      <c r="T206" s="203">
        <f ca="1">Table35[[#This Row],[Number of Monthly premiums missing]]*(Table35[[#This Row],[Lapsed API]]/12)</f>
        <v>0</v>
      </c>
      <c r="U206" s="204">
        <f>(Table35[[#This Row],[Lapsed API]]/12)*3</f>
        <v>0</v>
      </c>
      <c r="V206" s="15"/>
      <c r="W206" s="19"/>
    </row>
    <row r="207" spans="1:23" ht="20.100000000000001" customHeight="1" x14ac:dyDescent="0.3">
      <c r="A207" s="20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203" t="str">
        <f>IF(ISBLANK(Table35[[#This Row],[Paid to Date]]),"",DATE(YEAR(Table35[[#This Row],[Paid to Date]]),MONTH(Table35[[#This Row],[Paid to Date]]),DAY(Table35[[#This Row],[Paid to Date]])+90))</f>
        <v/>
      </c>
      <c r="M207" s="15"/>
      <c r="N207" s="15"/>
      <c r="O207" s="15"/>
      <c r="P207" s="203" t="str">
        <f>IFERROR(DATE(YEAR(Table35[[#This Row],[Lapsed Date]]),MONTH(Table35[[#This Row],[Lapsed Date]]),DAY(Table35[[#This Row],[Lapsed Date]])+20),"")</f>
        <v/>
      </c>
      <c r="Q207" s="203" t="str">
        <f>IFERROR(EDATE(Table35[[#This Row],[Lapsed Date]],12),"")</f>
        <v/>
      </c>
      <c r="R207" s="203" t="str">
        <f>IFERROR(EDATE(Table35[[#This Row],[Lapsed Date]],24),"")</f>
        <v/>
      </c>
      <c r="S207" s="205">
        <f ca="1">DATEDIF(Table35[[#This Row],[Paid to Date]],TODAY(), "M")</f>
        <v>1516</v>
      </c>
      <c r="T207" s="203">
        <f ca="1">Table35[[#This Row],[Number of Monthly premiums missing]]*(Table35[[#This Row],[Lapsed API]]/12)</f>
        <v>0</v>
      </c>
      <c r="U207" s="204">
        <f>(Table35[[#This Row],[Lapsed API]]/12)*3</f>
        <v>0</v>
      </c>
      <c r="V207" s="15"/>
      <c r="W207" s="19"/>
    </row>
    <row r="208" spans="1:23" ht="20.100000000000001" customHeight="1" x14ac:dyDescent="0.3">
      <c r="A208" s="20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203" t="str">
        <f>IF(ISBLANK(Table35[[#This Row],[Paid to Date]]),"",DATE(YEAR(Table35[[#This Row],[Paid to Date]]),MONTH(Table35[[#This Row],[Paid to Date]]),DAY(Table35[[#This Row],[Paid to Date]])+90))</f>
        <v/>
      </c>
      <c r="M208" s="15"/>
      <c r="N208" s="15"/>
      <c r="O208" s="15"/>
      <c r="P208" s="203" t="str">
        <f>IFERROR(DATE(YEAR(Table35[[#This Row],[Lapsed Date]]),MONTH(Table35[[#This Row],[Lapsed Date]]),DAY(Table35[[#This Row],[Lapsed Date]])+20),"")</f>
        <v/>
      </c>
      <c r="Q208" s="203" t="str">
        <f>IFERROR(EDATE(Table35[[#This Row],[Lapsed Date]],12),"")</f>
        <v/>
      </c>
      <c r="R208" s="203" t="str">
        <f>IFERROR(EDATE(Table35[[#This Row],[Lapsed Date]],24),"")</f>
        <v/>
      </c>
      <c r="S208" s="205">
        <f ca="1">DATEDIF(Table35[[#This Row],[Paid to Date]],TODAY(), "M")</f>
        <v>1516</v>
      </c>
      <c r="T208" s="203">
        <f ca="1">Table35[[#This Row],[Number of Monthly premiums missing]]*(Table35[[#This Row],[Lapsed API]]/12)</f>
        <v>0</v>
      </c>
      <c r="U208" s="204">
        <f>(Table35[[#This Row],[Lapsed API]]/12)*3</f>
        <v>0</v>
      </c>
      <c r="V208" s="15"/>
      <c r="W208" s="19"/>
    </row>
    <row r="209" spans="1:23" ht="20.100000000000001" customHeight="1" x14ac:dyDescent="0.3">
      <c r="A209" s="20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203" t="str">
        <f>IF(ISBLANK(Table35[[#This Row],[Paid to Date]]),"",DATE(YEAR(Table35[[#This Row],[Paid to Date]]),MONTH(Table35[[#This Row],[Paid to Date]]),DAY(Table35[[#This Row],[Paid to Date]])+90))</f>
        <v/>
      </c>
      <c r="M209" s="15"/>
      <c r="N209" s="15"/>
      <c r="O209" s="15"/>
      <c r="P209" s="203" t="str">
        <f>IFERROR(DATE(YEAR(Table35[[#This Row],[Lapsed Date]]),MONTH(Table35[[#This Row],[Lapsed Date]]),DAY(Table35[[#This Row],[Lapsed Date]])+20),"")</f>
        <v/>
      </c>
      <c r="Q209" s="203" t="str">
        <f>IFERROR(EDATE(Table35[[#This Row],[Lapsed Date]],12),"")</f>
        <v/>
      </c>
      <c r="R209" s="203" t="str">
        <f>IFERROR(EDATE(Table35[[#This Row],[Lapsed Date]],24),"")</f>
        <v/>
      </c>
      <c r="S209" s="205">
        <f ca="1">DATEDIF(Table35[[#This Row],[Paid to Date]],TODAY(), "M")</f>
        <v>1516</v>
      </c>
      <c r="T209" s="203">
        <f ca="1">Table35[[#This Row],[Number of Monthly premiums missing]]*(Table35[[#This Row],[Lapsed API]]/12)</f>
        <v>0</v>
      </c>
      <c r="U209" s="204">
        <f>(Table35[[#This Row],[Lapsed API]]/12)*3</f>
        <v>0</v>
      </c>
      <c r="V209" s="15"/>
      <c r="W209" s="19"/>
    </row>
    <row r="210" spans="1:23" ht="20.100000000000001" customHeight="1" x14ac:dyDescent="0.3">
      <c r="A210" s="20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203" t="str">
        <f>IF(ISBLANK(Table35[[#This Row],[Paid to Date]]),"",DATE(YEAR(Table35[[#This Row],[Paid to Date]]),MONTH(Table35[[#This Row],[Paid to Date]]),DAY(Table35[[#This Row],[Paid to Date]])+90))</f>
        <v/>
      </c>
      <c r="M210" s="15"/>
      <c r="N210" s="15"/>
      <c r="O210" s="15"/>
      <c r="P210" s="203" t="str">
        <f>IFERROR(DATE(YEAR(Table35[[#This Row],[Lapsed Date]]),MONTH(Table35[[#This Row],[Lapsed Date]]),DAY(Table35[[#This Row],[Lapsed Date]])+20),"")</f>
        <v/>
      </c>
      <c r="Q210" s="203" t="str">
        <f>IFERROR(EDATE(Table35[[#This Row],[Lapsed Date]],12),"")</f>
        <v/>
      </c>
      <c r="R210" s="203" t="str">
        <f>IFERROR(EDATE(Table35[[#This Row],[Lapsed Date]],24),"")</f>
        <v/>
      </c>
      <c r="S210" s="205">
        <f ca="1">DATEDIF(Table35[[#This Row],[Paid to Date]],TODAY(), "M")</f>
        <v>1516</v>
      </c>
      <c r="T210" s="203">
        <f ca="1">Table35[[#This Row],[Number of Monthly premiums missing]]*(Table35[[#This Row],[Lapsed API]]/12)</f>
        <v>0</v>
      </c>
      <c r="U210" s="204">
        <f>(Table35[[#This Row],[Lapsed API]]/12)*3</f>
        <v>0</v>
      </c>
      <c r="V210" s="15"/>
      <c r="W210" s="19"/>
    </row>
    <row r="211" spans="1:23" ht="20.100000000000001" customHeight="1" x14ac:dyDescent="0.3">
      <c r="A211" s="20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203" t="str">
        <f>IF(ISBLANK(Table35[[#This Row],[Paid to Date]]),"",DATE(YEAR(Table35[[#This Row],[Paid to Date]]),MONTH(Table35[[#This Row],[Paid to Date]]),DAY(Table35[[#This Row],[Paid to Date]])+90))</f>
        <v/>
      </c>
      <c r="M211" s="15"/>
      <c r="N211" s="15"/>
      <c r="O211" s="15"/>
      <c r="P211" s="203" t="str">
        <f>IFERROR(DATE(YEAR(Table35[[#This Row],[Lapsed Date]]),MONTH(Table35[[#This Row],[Lapsed Date]]),DAY(Table35[[#This Row],[Lapsed Date]])+20),"")</f>
        <v/>
      </c>
      <c r="Q211" s="203" t="str">
        <f>IFERROR(EDATE(Table35[[#This Row],[Lapsed Date]],12),"")</f>
        <v/>
      </c>
      <c r="R211" s="203" t="str">
        <f>IFERROR(EDATE(Table35[[#This Row],[Lapsed Date]],24),"")</f>
        <v/>
      </c>
      <c r="S211" s="205">
        <f ca="1">DATEDIF(Table35[[#This Row],[Paid to Date]],TODAY(), "M")</f>
        <v>1516</v>
      </c>
      <c r="T211" s="203">
        <f ca="1">Table35[[#This Row],[Number of Monthly premiums missing]]*(Table35[[#This Row],[Lapsed API]]/12)</f>
        <v>0</v>
      </c>
      <c r="U211" s="204">
        <f>(Table35[[#This Row],[Lapsed API]]/12)*3</f>
        <v>0</v>
      </c>
      <c r="V211" s="15"/>
      <c r="W211" s="19"/>
    </row>
    <row r="212" spans="1:23" ht="20.100000000000001" customHeight="1" x14ac:dyDescent="0.3">
      <c r="A212" s="20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203" t="str">
        <f>IF(ISBLANK(Table35[[#This Row],[Paid to Date]]),"",DATE(YEAR(Table35[[#This Row],[Paid to Date]]),MONTH(Table35[[#This Row],[Paid to Date]]),DAY(Table35[[#This Row],[Paid to Date]])+90))</f>
        <v/>
      </c>
      <c r="M212" s="15"/>
      <c r="N212" s="15"/>
      <c r="O212" s="15"/>
      <c r="P212" s="203" t="str">
        <f>IFERROR(DATE(YEAR(Table35[[#This Row],[Lapsed Date]]),MONTH(Table35[[#This Row],[Lapsed Date]]),DAY(Table35[[#This Row],[Lapsed Date]])+20),"")</f>
        <v/>
      </c>
      <c r="Q212" s="203" t="str">
        <f>IFERROR(EDATE(Table35[[#This Row],[Lapsed Date]],12),"")</f>
        <v/>
      </c>
      <c r="R212" s="203" t="str">
        <f>IFERROR(EDATE(Table35[[#This Row],[Lapsed Date]],24),"")</f>
        <v/>
      </c>
      <c r="S212" s="205">
        <f ca="1">DATEDIF(Table35[[#This Row],[Paid to Date]],TODAY(), "M")</f>
        <v>1516</v>
      </c>
      <c r="T212" s="203">
        <f ca="1">Table35[[#This Row],[Number of Monthly premiums missing]]*(Table35[[#This Row],[Lapsed API]]/12)</f>
        <v>0</v>
      </c>
      <c r="U212" s="204">
        <f>(Table35[[#This Row],[Lapsed API]]/12)*3</f>
        <v>0</v>
      </c>
      <c r="V212" s="15"/>
      <c r="W212" s="19"/>
    </row>
    <row r="213" spans="1:23" ht="20.100000000000001" customHeight="1" x14ac:dyDescent="0.3">
      <c r="A213" s="20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203" t="str">
        <f>IF(ISBLANK(Table35[[#This Row],[Paid to Date]]),"",DATE(YEAR(Table35[[#This Row],[Paid to Date]]),MONTH(Table35[[#This Row],[Paid to Date]]),DAY(Table35[[#This Row],[Paid to Date]])+90))</f>
        <v/>
      </c>
      <c r="M213" s="15"/>
      <c r="N213" s="15"/>
      <c r="O213" s="15"/>
      <c r="P213" s="203" t="str">
        <f>IFERROR(DATE(YEAR(Table35[[#This Row],[Lapsed Date]]),MONTH(Table35[[#This Row],[Lapsed Date]]),DAY(Table35[[#This Row],[Lapsed Date]])+20),"")</f>
        <v/>
      </c>
      <c r="Q213" s="203" t="str">
        <f>IFERROR(EDATE(Table35[[#This Row],[Lapsed Date]],12),"")</f>
        <v/>
      </c>
      <c r="R213" s="203" t="str">
        <f>IFERROR(EDATE(Table35[[#This Row],[Lapsed Date]],24),"")</f>
        <v/>
      </c>
      <c r="S213" s="205">
        <f ca="1">DATEDIF(Table35[[#This Row],[Paid to Date]],TODAY(), "M")</f>
        <v>1516</v>
      </c>
      <c r="T213" s="203">
        <f ca="1">Table35[[#This Row],[Number of Monthly premiums missing]]*(Table35[[#This Row],[Lapsed API]]/12)</f>
        <v>0</v>
      </c>
      <c r="U213" s="204">
        <f>(Table35[[#This Row],[Lapsed API]]/12)*3</f>
        <v>0</v>
      </c>
      <c r="V213" s="15"/>
      <c r="W213" s="19"/>
    </row>
    <row r="214" spans="1:23" ht="20.100000000000001" customHeight="1" x14ac:dyDescent="0.3">
      <c r="A214" s="20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203" t="str">
        <f>IF(ISBLANK(Table35[[#This Row],[Paid to Date]]),"",DATE(YEAR(Table35[[#This Row],[Paid to Date]]),MONTH(Table35[[#This Row],[Paid to Date]]),DAY(Table35[[#This Row],[Paid to Date]])+90))</f>
        <v/>
      </c>
      <c r="M214" s="15"/>
      <c r="N214" s="15"/>
      <c r="O214" s="15"/>
      <c r="P214" s="203" t="str">
        <f>IFERROR(DATE(YEAR(Table35[[#This Row],[Lapsed Date]]),MONTH(Table35[[#This Row],[Lapsed Date]]),DAY(Table35[[#This Row],[Lapsed Date]])+20),"")</f>
        <v/>
      </c>
      <c r="Q214" s="203" t="str">
        <f>IFERROR(EDATE(Table35[[#This Row],[Lapsed Date]],12),"")</f>
        <v/>
      </c>
      <c r="R214" s="203" t="str">
        <f>IFERROR(EDATE(Table35[[#This Row],[Lapsed Date]],24),"")</f>
        <v/>
      </c>
      <c r="S214" s="205">
        <f ca="1">DATEDIF(Table35[[#This Row],[Paid to Date]],TODAY(), "M")</f>
        <v>1516</v>
      </c>
      <c r="T214" s="203">
        <f ca="1">Table35[[#This Row],[Number of Monthly premiums missing]]*(Table35[[#This Row],[Lapsed API]]/12)</f>
        <v>0</v>
      </c>
      <c r="U214" s="204">
        <f>(Table35[[#This Row],[Lapsed API]]/12)*3</f>
        <v>0</v>
      </c>
      <c r="V214" s="15"/>
      <c r="W214" s="19"/>
    </row>
    <row r="215" spans="1:23" ht="20.100000000000001" customHeight="1" x14ac:dyDescent="0.3">
      <c r="A215" s="20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203" t="str">
        <f>IF(ISBLANK(Table35[[#This Row],[Paid to Date]]),"",DATE(YEAR(Table35[[#This Row],[Paid to Date]]),MONTH(Table35[[#This Row],[Paid to Date]]),DAY(Table35[[#This Row],[Paid to Date]])+90))</f>
        <v/>
      </c>
      <c r="M215" s="15"/>
      <c r="N215" s="15"/>
      <c r="O215" s="15"/>
      <c r="P215" s="203" t="str">
        <f>IFERROR(DATE(YEAR(Table35[[#This Row],[Lapsed Date]]),MONTH(Table35[[#This Row],[Lapsed Date]]),DAY(Table35[[#This Row],[Lapsed Date]])+20),"")</f>
        <v/>
      </c>
      <c r="Q215" s="203" t="str">
        <f>IFERROR(EDATE(Table35[[#This Row],[Lapsed Date]],12),"")</f>
        <v/>
      </c>
      <c r="R215" s="203" t="str">
        <f>IFERROR(EDATE(Table35[[#This Row],[Lapsed Date]],24),"")</f>
        <v/>
      </c>
      <c r="S215" s="205">
        <f ca="1">DATEDIF(Table35[[#This Row],[Paid to Date]],TODAY(), "M")</f>
        <v>1516</v>
      </c>
      <c r="T215" s="203">
        <f ca="1">Table35[[#This Row],[Number of Monthly premiums missing]]*(Table35[[#This Row],[Lapsed API]]/12)</f>
        <v>0</v>
      </c>
      <c r="U215" s="204">
        <f>(Table35[[#This Row],[Lapsed API]]/12)*3</f>
        <v>0</v>
      </c>
      <c r="V215" s="15"/>
      <c r="W215" s="19"/>
    </row>
    <row r="216" spans="1:23" ht="20.100000000000001" customHeight="1" x14ac:dyDescent="0.3">
      <c r="A216" s="20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203" t="str">
        <f>IF(ISBLANK(Table35[[#This Row],[Paid to Date]]),"",DATE(YEAR(Table35[[#This Row],[Paid to Date]]),MONTH(Table35[[#This Row],[Paid to Date]]),DAY(Table35[[#This Row],[Paid to Date]])+90))</f>
        <v/>
      </c>
      <c r="M216" s="15"/>
      <c r="N216" s="15"/>
      <c r="O216" s="15"/>
      <c r="P216" s="203" t="str">
        <f>IFERROR(DATE(YEAR(Table35[[#This Row],[Lapsed Date]]),MONTH(Table35[[#This Row],[Lapsed Date]]),DAY(Table35[[#This Row],[Lapsed Date]])+20),"")</f>
        <v/>
      </c>
      <c r="Q216" s="203" t="str">
        <f>IFERROR(EDATE(Table35[[#This Row],[Lapsed Date]],12),"")</f>
        <v/>
      </c>
      <c r="R216" s="203" t="str">
        <f>IFERROR(EDATE(Table35[[#This Row],[Lapsed Date]],24),"")</f>
        <v/>
      </c>
      <c r="S216" s="205">
        <f ca="1">DATEDIF(Table35[[#This Row],[Paid to Date]],TODAY(), "M")</f>
        <v>1516</v>
      </c>
      <c r="T216" s="203">
        <f ca="1">Table35[[#This Row],[Number of Monthly premiums missing]]*(Table35[[#This Row],[Lapsed API]]/12)</f>
        <v>0</v>
      </c>
      <c r="U216" s="204">
        <f>(Table35[[#This Row],[Lapsed API]]/12)*3</f>
        <v>0</v>
      </c>
      <c r="V216" s="15"/>
      <c r="W216" s="19"/>
    </row>
    <row r="217" spans="1:23" ht="20.100000000000001" customHeight="1" x14ac:dyDescent="0.3">
      <c r="A217" s="20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203" t="str">
        <f>IF(ISBLANK(Table35[[#This Row],[Paid to Date]]),"",DATE(YEAR(Table35[[#This Row],[Paid to Date]]),MONTH(Table35[[#This Row],[Paid to Date]]),DAY(Table35[[#This Row],[Paid to Date]])+90))</f>
        <v/>
      </c>
      <c r="M217" s="15"/>
      <c r="N217" s="15"/>
      <c r="O217" s="15"/>
      <c r="P217" s="203" t="str">
        <f>IFERROR(DATE(YEAR(Table35[[#This Row],[Lapsed Date]]),MONTH(Table35[[#This Row],[Lapsed Date]]),DAY(Table35[[#This Row],[Lapsed Date]])+20),"")</f>
        <v/>
      </c>
      <c r="Q217" s="203" t="str">
        <f>IFERROR(EDATE(Table35[[#This Row],[Lapsed Date]],12),"")</f>
        <v/>
      </c>
      <c r="R217" s="203" t="str">
        <f>IFERROR(EDATE(Table35[[#This Row],[Lapsed Date]],24),"")</f>
        <v/>
      </c>
      <c r="S217" s="205">
        <f ca="1">DATEDIF(Table35[[#This Row],[Paid to Date]],TODAY(), "M")</f>
        <v>1516</v>
      </c>
      <c r="T217" s="203">
        <f ca="1">Table35[[#This Row],[Number of Monthly premiums missing]]*(Table35[[#This Row],[Lapsed API]]/12)</f>
        <v>0</v>
      </c>
      <c r="U217" s="204">
        <f>(Table35[[#This Row],[Lapsed API]]/12)*3</f>
        <v>0</v>
      </c>
      <c r="V217" s="15"/>
      <c r="W217" s="19"/>
    </row>
    <row r="218" spans="1:23" ht="20.100000000000001" customHeight="1" x14ac:dyDescent="0.3">
      <c r="A218" s="20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203" t="str">
        <f>IF(ISBLANK(Table35[[#This Row],[Paid to Date]]),"",DATE(YEAR(Table35[[#This Row],[Paid to Date]]),MONTH(Table35[[#This Row],[Paid to Date]]),DAY(Table35[[#This Row],[Paid to Date]])+90))</f>
        <v/>
      </c>
      <c r="M218" s="15"/>
      <c r="N218" s="15"/>
      <c r="O218" s="15"/>
      <c r="P218" s="203" t="str">
        <f>IFERROR(DATE(YEAR(Table35[[#This Row],[Lapsed Date]]),MONTH(Table35[[#This Row],[Lapsed Date]]),DAY(Table35[[#This Row],[Lapsed Date]])+20),"")</f>
        <v/>
      </c>
      <c r="Q218" s="203" t="str">
        <f>IFERROR(EDATE(Table35[[#This Row],[Lapsed Date]],12),"")</f>
        <v/>
      </c>
      <c r="R218" s="203" t="str">
        <f>IFERROR(EDATE(Table35[[#This Row],[Lapsed Date]],24),"")</f>
        <v/>
      </c>
      <c r="S218" s="205">
        <f ca="1">DATEDIF(Table35[[#This Row],[Paid to Date]],TODAY(), "M")</f>
        <v>1516</v>
      </c>
      <c r="T218" s="203">
        <f ca="1">Table35[[#This Row],[Number of Monthly premiums missing]]*(Table35[[#This Row],[Lapsed API]]/12)</f>
        <v>0</v>
      </c>
      <c r="U218" s="204">
        <f>(Table35[[#This Row],[Lapsed API]]/12)*3</f>
        <v>0</v>
      </c>
      <c r="V218" s="15"/>
      <c r="W218" s="19"/>
    </row>
    <row r="219" spans="1:23" ht="20.100000000000001" customHeight="1" x14ac:dyDescent="0.3">
      <c r="A219" s="20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203" t="str">
        <f>IF(ISBLANK(Table35[[#This Row],[Paid to Date]]),"",DATE(YEAR(Table35[[#This Row],[Paid to Date]]),MONTH(Table35[[#This Row],[Paid to Date]]),DAY(Table35[[#This Row],[Paid to Date]])+90))</f>
        <v/>
      </c>
      <c r="M219" s="15"/>
      <c r="N219" s="15"/>
      <c r="O219" s="15"/>
      <c r="P219" s="203" t="str">
        <f>IFERROR(DATE(YEAR(Table35[[#This Row],[Lapsed Date]]),MONTH(Table35[[#This Row],[Lapsed Date]]),DAY(Table35[[#This Row],[Lapsed Date]])+20),"")</f>
        <v/>
      </c>
      <c r="Q219" s="203" t="str">
        <f>IFERROR(EDATE(Table35[[#This Row],[Lapsed Date]],12),"")</f>
        <v/>
      </c>
      <c r="R219" s="203" t="str">
        <f>IFERROR(EDATE(Table35[[#This Row],[Lapsed Date]],24),"")</f>
        <v/>
      </c>
      <c r="S219" s="205">
        <f ca="1">DATEDIF(Table35[[#This Row],[Paid to Date]],TODAY(), "M")</f>
        <v>1516</v>
      </c>
      <c r="T219" s="203">
        <f ca="1">Table35[[#This Row],[Number of Monthly premiums missing]]*(Table35[[#This Row],[Lapsed API]]/12)</f>
        <v>0</v>
      </c>
      <c r="U219" s="204">
        <f>(Table35[[#This Row],[Lapsed API]]/12)*3</f>
        <v>0</v>
      </c>
      <c r="V219" s="15"/>
      <c r="W219" s="19"/>
    </row>
    <row r="220" spans="1:23" ht="20.100000000000001" customHeight="1" x14ac:dyDescent="0.3">
      <c r="A220" s="20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203" t="str">
        <f>IF(ISBLANK(Table35[[#This Row],[Paid to Date]]),"",DATE(YEAR(Table35[[#This Row],[Paid to Date]]),MONTH(Table35[[#This Row],[Paid to Date]]),DAY(Table35[[#This Row],[Paid to Date]])+90))</f>
        <v/>
      </c>
      <c r="M220" s="15"/>
      <c r="N220" s="15"/>
      <c r="O220" s="15"/>
      <c r="P220" s="203" t="str">
        <f>IFERROR(DATE(YEAR(Table35[[#This Row],[Lapsed Date]]),MONTH(Table35[[#This Row],[Lapsed Date]]),DAY(Table35[[#This Row],[Lapsed Date]])+20),"")</f>
        <v/>
      </c>
      <c r="Q220" s="203" t="str">
        <f>IFERROR(EDATE(Table35[[#This Row],[Lapsed Date]],12),"")</f>
        <v/>
      </c>
      <c r="R220" s="203" t="str">
        <f>IFERROR(EDATE(Table35[[#This Row],[Lapsed Date]],24),"")</f>
        <v/>
      </c>
      <c r="S220" s="205">
        <f ca="1">DATEDIF(Table35[[#This Row],[Paid to Date]],TODAY(), "M")</f>
        <v>1516</v>
      </c>
      <c r="T220" s="203">
        <f ca="1">Table35[[#This Row],[Number of Monthly premiums missing]]*(Table35[[#This Row],[Lapsed API]]/12)</f>
        <v>0</v>
      </c>
      <c r="U220" s="204">
        <f>(Table35[[#This Row],[Lapsed API]]/12)*3</f>
        <v>0</v>
      </c>
      <c r="V220" s="15"/>
      <c r="W220" s="19"/>
    </row>
    <row r="221" spans="1:23" ht="20.100000000000001" customHeight="1" x14ac:dyDescent="0.3">
      <c r="A221" s="20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203" t="str">
        <f>IF(ISBLANK(Table35[[#This Row],[Paid to Date]]),"",DATE(YEAR(Table35[[#This Row],[Paid to Date]]),MONTH(Table35[[#This Row],[Paid to Date]]),DAY(Table35[[#This Row],[Paid to Date]])+90))</f>
        <v/>
      </c>
      <c r="M221" s="15"/>
      <c r="N221" s="15"/>
      <c r="O221" s="15"/>
      <c r="P221" s="203" t="str">
        <f>IFERROR(DATE(YEAR(Table35[[#This Row],[Lapsed Date]]),MONTH(Table35[[#This Row],[Lapsed Date]]),DAY(Table35[[#This Row],[Lapsed Date]])+20),"")</f>
        <v/>
      </c>
      <c r="Q221" s="203" t="str">
        <f>IFERROR(EDATE(Table35[[#This Row],[Lapsed Date]],12),"")</f>
        <v/>
      </c>
      <c r="R221" s="203" t="str">
        <f>IFERROR(EDATE(Table35[[#This Row],[Lapsed Date]],24),"")</f>
        <v/>
      </c>
      <c r="S221" s="205">
        <f ca="1">DATEDIF(Table35[[#This Row],[Paid to Date]],TODAY(), "M")</f>
        <v>1516</v>
      </c>
      <c r="T221" s="203">
        <f ca="1">Table35[[#This Row],[Number of Monthly premiums missing]]*(Table35[[#This Row],[Lapsed API]]/12)</f>
        <v>0</v>
      </c>
      <c r="U221" s="204">
        <f>(Table35[[#This Row],[Lapsed API]]/12)*3</f>
        <v>0</v>
      </c>
      <c r="V221" s="15"/>
      <c r="W221" s="19"/>
    </row>
    <row r="222" spans="1:23" ht="20.100000000000001" customHeight="1" x14ac:dyDescent="0.3">
      <c r="A222" s="20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203" t="str">
        <f>IF(ISBLANK(Table35[[#This Row],[Paid to Date]]),"",DATE(YEAR(Table35[[#This Row],[Paid to Date]]),MONTH(Table35[[#This Row],[Paid to Date]]),DAY(Table35[[#This Row],[Paid to Date]])+90))</f>
        <v/>
      </c>
      <c r="M222" s="15"/>
      <c r="N222" s="15"/>
      <c r="O222" s="15"/>
      <c r="P222" s="203" t="str">
        <f>IFERROR(DATE(YEAR(Table35[[#This Row],[Lapsed Date]]),MONTH(Table35[[#This Row],[Lapsed Date]]),DAY(Table35[[#This Row],[Lapsed Date]])+20),"")</f>
        <v/>
      </c>
      <c r="Q222" s="203" t="str">
        <f>IFERROR(EDATE(Table35[[#This Row],[Lapsed Date]],12),"")</f>
        <v/>
      </c>
      <c r="R222" s="203" t="str">
        <f>IFERROR(EDATE(Table35[[#This Row],[Lapsed Date]],24),"")</f>
        <v/>
      </c>
      <c r="S222" s="205">
        <f ca="1">DATEDIF(Table35[[#This Row],[Paid to Date]],TODAY(), "M")</f>
        <v>1516</v>
      </c>
      <c r="T222" s="203">
        <f ca="1">Table35[[#This Row],[Number of Monthly premiums missing]]*(Table35[[#This Row],[Lapsed API]]/12)</f>
        <v>0</v>
      </c>
      <c r="U222" s="204">
        <f>(Table35[[#This Row],[Lapsed API]]/12)*3</f>
        <v>0</v>
      </c>
      <c r="V222" s="15"/>
      <c r="W222" s="19"/>
    </row>
    <row r="223" spans="1:23" ht="20.100000000000001" customHeight="1" x14ac:dyDescent="0.3">
      <c r="A223" s="20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203" t="str">
        <f>IF(ISBLANK(Table35[[#This Row],[Paid to Date]]),"",DATE(YEAR(Table35[[#This Row],[Paid to Date]]),MONTH(Table35[[#This Row],[Paid to Date]]),DAY(Table35[[#This Row],[Paid to Date]])+90))</f>
        <v/>
      </c>
      <c r="M223" s="15"/>
      <c r="N223" s="15"/>
      <c r="O223" s="15"/>
      <c r="P223" s="203" t="str">
        <f>IFERROR(DATE(YEAR(Table35[[#This Row],[Lapsed Date]]),MONTH(Table35[[#This Row],[Lapsed Date]]),DAY(Table35[[#This Row],[Lapsed Date]])+20),"")</f>
        <v/>
      </c>
      <c r="Q223" s="203" t="str">
        <f>IFERROR(EDATE(Table35[[#This Row],[Lapsed Date]],12),"")</f>
        <v/>
      </c>
      <c r="R223" s="203" t="str">
        <f>IFERROR(EDATE(Table35[[#This Row],[Lapsed Date]],24),"")</f>
        <v/>
      </c>
      <c r="S223" s="205">
        <f ca="1">DATEDIF(Table35[[#This Row],[Paid to Date]],TODAY(), "M")</f>
        <v>1516</v>
      </c>
      <c r="T223" s="203">
        <f ca="1">Table35[[#This Row],[Number of Monthly premiums missing]]*(Table35[[#This Row],[Lapsed API]]/12)</f>
        <v>0</v>
      </c>
      <c r="U223" s="204">
        <f>(Table35[[#This Row],[Lapsed API]]/12)*3</f>
        <v>0</v>
      </c>
      <c r="V223" s="15"/>
      <c r="W223" s="19"/>
    </row>
    <row r="224" spans="1:23" ht="20.100000000000001" customHeight="1" x14ac:dyDescent="0.3">
      <c r="A224" s="20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203" t="str">
        <f>IF(ISBLANK(Table35[[#This Row],[Paid to Date]]),"",DATE(YEAR(Table35[[#This Row],[Paid to Date]]),MONTH(Table35[[#This Row],[Paid to Date]]),DAY(Table35[[#This Row],[Paid to Date]])+90))</f>
        <v/>
      </c>
      <c r="M224" s="15"/>
      <c r="N224" s="15"/>
      <c r="O224" s="15"/>
      <c r="P224" s="203" t="str">
        <f>IFERROR(DATE(YEAR(Table35[[#This Row],[Lapsed Date]]),MONTH(Table35[[#This Row],[Lapsed Date]]),DAY(Table35[[#This Row],[Lapsed Date]])+20),"")</f>
        <v/>
      </c>
      <c r="Q224" s="203" t="str">
        <f>IFERROR(EDATE(Table35[[#This Row],[Lapsed Date]],12),"")</f>
        <v/>
      </c>
      <c r="R224" s="203" t="str">
        <f>IFERROR(EDATE(Table35[[#This Row],[Lapsed Date]],24),"")</f>
        <v/>
      </c>
      <c r="S224" s="205">
        <f ca="1">DATEDIF(Table35[[#This Row],[Paid to Date]],TODAY(), "M")</f>
        <v>1516</v>
      </c>
      <c r="T224" s="203">
        <f ca="1">Table35[[#This Row],[Number of Monthly premiums missing]]*(Table35[[#This Row],[Lapsed API]]/12)</f>
        <v>0</v>
      </c>
      <c r="U224" s="204">
        <f>(Table35[[#This Row],[Lapsed API]]/12)*3</f>
        <v>0</v>
      </c>
      <c r="V224" s="15"/>
      <c r="W224" s="19"/>
    </row>
    <row r="225" spans="1:23" ht="20.100000000000001" customHeight="1" x14ac:dyDescent="0.3">
      <c r="A225" s="20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203" t="str">
        <f>IF(ISBLANK(Table35[[#This Row],[Paid to Date]]),"",DATE(YEAR(Table35[[#This Row],[Paid to Date]]),MONTH(Table35[[#This Row],[Paid to Date]]),DAY(Table35[[#This Row],[Paid to Date]])+90))</f>
        <v/>
      </c>
      <c r="M225" s="15"/>
      <c r="N225" s="15"/>
      <c r="O225" s="15"/>
      <c r="P225" s="203" t="str">
        <f>IFERROR(DATE(YEAR(Table35[[#This Row],[Lapsed Date]]),MONTH(Table35[[#This Row],[Lapsed Date]]),DAY(Table35[[#This Row],[Lapsed Date]])+20),"")</f>
        <v/>
      </c>
      <c r="Q225" s="203" t="str">
        <f>IFERROR(EDATE(Table35[[#This Row],[Lapsed Date]],12),"")</f>
        <v/>
      </c>
      <c r="R225" s="203" t="str">
        <f>IFERROR(EDATE(Table35[[#This Row],[Lapsed Date]],24),"")</f>
        <v/>
      </c>
      <c r="S225" s="205">
        <f ca="1">DATEDIF(Table35[[#This Row],[Paid to Date]],TODAY(), "M")</f>
        <v>1516</v>
      </c>
      <c r="T225" s="203">
        <f ca="1">Table35[[#This Row],[Number of Monthly premiums missing]]*(Table35[[#This Row],[Lapsed API]]/12)</f>
        <v>0</v>
      </c>
      <c r="U225" s="204">
        <f>(Table35[[#This Row],[Lapsed API]]/12)*3</f>
        <v>0</v>
      </c>
      <c r="V225" s="15"/>
      <c r="W225" s="19"/>
    </row>
    <row r="226" spans="1:23" ht="20.100000000000001" customHeight="1" x14ac:dyDescent="0.3">
      <c r="A226" s="20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203" t="str">
        <f>IF(ISBLANK(Table35[[#This Row],[Paid to Date]]),"",DATE(YEAR(Table35[[#This Row],[Paid to Date]]),MONTH(Table35[[#This Row],[Paid to Date]]),DAY(Table35[[#This Row],[Paid to Date]])+90))</f>
        <v/>
      </c>
      <c r="M226" s="15"/>
      <c r="N226" s="15"/>
      <c r="O226" s="15"/>
      <c r="P226" s="203" t="str">
        <f>IFERROR(DATE(YEAR(Table35[[#This Row],[Lapsed Date]]),MONTH(Table35[[#This Row],[Lapsed Date]]),DAY(Table35[[#This Row],[Lapsed Date]])+20),"")</f>
        <v/>
      </c>
      <c r="Q226" s="203" t="str">
        <f>IFERROR(EDATE(Table35[[#This Row],[Lapsed Date]],12),"")</f>
        <v/>
      </c>
      <c r="R226" s="203" t="str">
        <f>IFERROR(EDATE(Table35[[#This Row],[Lapsed Date]],24),"")</f>
        <v/>
      </c>
      <c r="S226" s="205">
        <f ca="1">DATEDIF(Table35[[#This Row],[Paid to Date]],TODAY(), "M")</f>
        <v>1516</v>
      </c>
      <c r="T226" s="203">
        <f ca="1">Table35[[#This Row],[Number of Monthly premiums missing]]*(Table35[[#This Row],[Lapsed API]]/12)</f>
        <v>0</v>
      </c>
      <c r="U226" s="204">
        <f>(Table35[[#This Row],[Lapsed API]]/12)*3</f>
        <v>0</v>
      </c>
      <c r="V226" s="15"/>
      <c r="W226" s="19"/>
    </row>
    <row r="227" spans="1:23" ht="20.100000000000001" customHeight="1" x14ac:dyDescent="0.3">
      <c r="A227" s="20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203" t="str">
        <f>IF(ISBLANK(Table35[[#This Row],[Paid to Date]]),"",DATE(YEAR(Table35[[#This Row],[Paid to Date]]),MONTH(Table35[[#This Row],[Paid to Date]]),DAY(Table35[[#This Row],[Paid to Date]])+90))</f>
        <v/>
      </c>
      <c r="M227" s="15"/>
      <c r="N227" s="15"/>
      <c r="O227" s="15"/>
      <c r="P227" s="203" t="str">
        <f>IFERROR(DATE(YEAR(Table35[[#This Row],[Lapsed Date]]),MONTH(Table35[[#This Row],[Lapsed Date]]),DAY(Table35[[#This Row],[Lapsed Date]])+20),"")</f>
        <v/>
      </c>
      <c r="Q227" s="203" t="str">
        <f>IFERROR(EDATE(Table35[[#This Row],[Lapsed Date]],12),"")</f>
        <v/>
      </c>
      <c r="R227" s="203" t="str">
        <f>IFERROR(EDATE(Table35[[#This Row],[Lapsed Date]],24),"")</f>
        <v/>
      </c>
      <c r="S227" s="205">
        <f ca="1">DATEDIF(Table35[[#This Row],[Paid to Date]],TODAY(), "M")</f>
        <v>1516</v>
      </c>
      <c r="T227" s="203">
        <f ca="1">Table35[[#This Row],[Number of Monthly premiums missing]]*(Table35[[#This Row],[Lapsed API]]/12)</f>
        <v>0</v>
      </c>
      <c r="U227" s="204">
        <f>(Table35[[#This Row],[Lapsed API]]/12)*3</f>
        <v>0</v>
      </c>
      <c r="V227" s="15"/>
      <c r="W227" s="19"/>
    </row>
    <row r="228" spans="1:23" ht="20.100000000000001" customHeight="1" x14ac:dyDescent="0.3">
      <c r="A228" s="20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203" t="str">
        <f>IF(ISBLANK(Table35[[#This Row],[Paid to Date]]),"",DATE(YEAR(Table35[[#This Row],[Paid to Date]]),MONTH(Table35[[#This Row],[Paid to Date]]),DAY(Table35[[#This Row],[Paid to Date]])+90))</f>
        <v/>
      </c>
      <c r="M228" s="15"/>
      <c r="N228" s="15"/>
      <c r="O228" s="15"/>
      <c r="P228" s="203" t="str">
        <f>IFERROR(DATE(YEAR(Table35[[#This Row],[Lapsed Date]]),MONTH(Table35[[#This Row],[Lapsed Date]]),DAY(Table35[[#This Row],[Lapsed Date]])+20),"")</f>
        <v/>
      </c>
      <c r="Q228" s="203" t="str">
        <f>IFERROR(EDATE(Table35[[#This Row],[Lapsed Date]],12),"")</f>
        <v/>
      </c>
      <c r="R228" s="203" t="str">
        <f>IFERROR(EDATE(Table35[[#This Row],[Lapsed Date]],24),"")</f>
        <v/>
      </c>
      <c r="S228" s="205">
        <f ca="1">DATEDIF(Table35[[#This Row],[Paid to Date]],TODAY(), "M")</f>
        <v>1516</v>
      </c>
      <c r="T228" s="203">
        <f ca="1">Table35[[#This Row],[Number of Monthly premiums missing]]*(Table35[[#This Row],[Lapsed API]]/12)</f>
        <v>0</v>
      </c>
      <c r="U228" s="204">
        <f>(Table35[[#This Row],[Lapsed API]]/12)*3</f>
        <v>0</v>
      </c>
      <c r="V228" s="15"/>
      <c r="W228" s="19"/>
    </row>
    <row r="229" spans="1:23" ht="20.100000000000001" customHeight="1" x14ac:dyDescent="0.3">
      <c r="A229" s="20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203" t="str">
        <f>IF(ISBLANK(Table35[[#This Row],[Paid to Date]]),"",DATE(YEAR(Table35[[#This Row],[Paid to Date]]),MONTH(Table35[[#This Row],[Paid to Date]]),DAY(Table35[[#This Row],[Paid to Date]])+90))</f>
        <v/>
      </c>
      <c r="M229" s="15"/>
      <c r="N229" s="15"/>
      <c r="O229" s="15"/>
      <c r="P229" s="203" t="str">
        <f>IFERROR(DATE(YEAR(Table35[[#This Row],[Lapsed Date]]),MONTH(Table35[[#This Row],[Lapsed Date]]),DAY(Table35[[#This Row],[Lapsed Date]])+20),"")</f>
        <v/>
      </c>
      <c r="Q229" s="203" t="str">
        <f>IFERROR(EDATE(Table35[[#This Row],[Lapsed Date]],12),"")</f>
        <v/>
      </c>
      <c r="R229" s="203" t="str">
        <f>IFERROR(EDATE(Table35[[#This Row],[Lapsed Date]],24),"")</f>
        <v/>
      </c>
      <c r="S229" s="205">
        <f ca="1">DATEDIF(Table35[[#This Row],[Paid to Date]],TODAY(), "M")</f>
        <v>1516</v>
      </c>
      <c r="T229" s="203">
        <f ca="1">Table35[[#This Row],[Number of Monthly premiums missing]]*(Table35[[#This Row],[Lapsed API]]/12)</f>
        <v>0</v>
      </c>
      <c r="U229" s="204">
        <f>(Table35[[#This Row],[Lapsed API]]/12)*3</f>
        <v>0</v>
      </c>
      <c r="V229" s="15"/>
      <c r="W229" s="19"/>
    </row>
    <row r="230" spans="1:23" ht="20.100000000000001" customHeight="1" x14ac:dyDescent="0.3">
      <c r="A230" s="20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203" t="str">
        <f>IF(ISBLANK(Table35[[#This Row],[Paid to Date]]),"",DATE(YEAR(Table35[[#This Row],[Paid to Date]]),MONTH(Table35[[#This Row],[Paid to Date]]),DAY(Table35[[#This Row],[Paid to Date]])+90))</f>
        <v/>
      </c>
      <c r="M230" s="15"/>
      <c r="N230" s="15"/>
      <c r="O230" s="15"/>
      <c r="P230" s="203" t="str">
        <f>IFERROR(DATE(YEAR(Table35[[#This Row],[Lapsed Date]]),MONTH(Table35[[#This Row],[Lapsed Date]]),DAY(Table35[[#This Row],[Lapsed Date]])+20),"")</f>
        <v/>
      </c>
      <c r="Q230" s="203" t="str">
        <f>IFERROR(EDATE(Table35[[#This Row],[Lapsed Date]],12),"")</f>
        <v/>
      </c>
      <c r="R230" s="203" t="str">
        <f>IFERROR(EDATE(Table35[[#This Row],[Lapsed Date]],24),"")</f>
        <v/>
      </c>
      <c r="S230" s="205">
        <f ca="1">DATEDIF(Table35[[#This Row],[Paid to Date]],TODAY(), "M")</f>
        <v>1516</v>
      </c>
      <c r="T230" s="203">
        <f ca="1">Table35[[#This Row],[Number of Monthly premiums missing]]*(Table35[[#This Row],[Lapsed API]]/12)</f>
        <v>0</v>
      </c>
      <c r="U230" s="204">
        <f>(Table35[[#This Row],[Lapsed API]]/12)*3</f>
        <v>0</v>
      </c>
      <c r="V230" s="15"/>
      <c r="W230" s="19"/>
    </row>
    <row r="231" spans="1:23" ht="20.100000000000001" customHeight="1" x14ac:dyDescent="0.3">
      <c r="A231" s="20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203" t="str">
        <f>IF(ISBLANK(Table35[[#This Row],[Paid to Date]]),"",DATE(YEAR(Table35[[#This Row],[Paid to Date]]),MONTH(Table35[[#This Row],[Paid to Date]]),DAY(Table35[[#This Row],[Paid to Date]])+90))</f>
        <v/>
      </c>
      <c r="M231" s="15"/>
      <c r="N231" s="15"/>
      <c r="O231" s="15"/>
      <c r="P231" s="203" t="str">
        <f>IFERROR(DATE(YEAR(Table35[[#This Row],[Lapsed Date]]),MONTH(Table35[[#This Row],[Lapsed Date]]),DAY(Table35[[#This Row],[Lapsed Date]])+20),"")</f>
        <v/>
      </c>
      <c r="Q231" s="203" t="str">
        <f>IFERROR(EDATE(Table35[[#This Row],[Lapsed Date]],12),"")</f>
        <v/>
      </c>
      <c r="R231" s="203" t="str">
        <f>IFERROR(EDATE(Table35[[#This Row],[Lapsed Date]],24),"")</f>
        <v/>
      </c>
      <c r="S231" s="205">
        <f ca="1">DATEDIF(Table35[[#This Row],[Paid to Date]],TODAY(), "M")</f>
        <v>1516</v>
      </c>
      <c r="T231" s="203">
        <f ca="1">Table35[[#This Row],[Number of Monthly premiums missing]]*(Table35[[#This Row],[Lapsed API]]/12)</f>
        <v>0</v>
      </c>
      <c r="U231" s="204">
        <f>(Table35[[#This Row],[Lapsed API]]/12)*3</f>
        <v>0</v>
      </c>
      <c r="V231" s="15"/>
      <c r="W231" s="19"/>
    </row>
    <row r="232" spans="1:23" ht="20.100000000000001" customHeight="1" x14ac:dyDescent="0.3">
      <c r="A232" s="20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203" t="str">
        <f>IF(ISBLANK(Table35[[#This Row],[Paid to Date]]),"",DATE(YEAR(Table35[[#This Row],[Paid to Date]]),MONTH(Table35[[#This Row],[Paid to Date]]),DAY(Table35[[#This Row],[Paid to Date]])+90))</f>
        <v/>
      </c>
      <c r="M232" s="15"/>
      <c r="N232" s="15"/>
      <c r="O232" s="15"/>
      <c r="P232" s="203" t="str">
        <f>IFERROR(DATE(YEAR(Table35[[#This Row],[Lapsed Date]]),MONTH(Table35[[#This Row],[Lapsed Date]]),DAY(Table35[[#This Row],[Lapsed Date]])+20),"")</f>
        <v/>
      </c>
      <c r="Q232" s="203" t="str">
        <f>IFERROR(EDATE(Table35[[#This Row],[Lapsed Date]],12),"")</f>
        <v/>
      </c>
      <c r="R232" s="203" t="str">
        <f>IFERROR(EDATE(Table35[[#This Row],[Lapsed Date]],24),"")</f>
        <v/>
      </c>
      <c r="S232" s="205">
        <f ca="1">DATEDIF(Table35[[#This Row],[Paid to Date]],TODAY(), "M")</f>
        <v>1516</v>
      </c>
      <c r="T232" s="203">
        <f ca="1">Table35[[#This Row],[Number of Monthly premiums missing]]*(Table35[[#This Row],[Lapsed API]]/12)</f>
        <v>0</v>
      </c>
      <c r="U232" s="204">
        <f>(Table35[[#This Row],[Lapsed API]]/12)*3</f>
        <v>0</v>
      </c>
      <c r="V232" s="15"/>
      <c r="W232" s="19"/>
    </row>
    <row r="233" spans="1:23" ht="20.100000000000001" customHeight="1" x14ac:dyDescent="0.3">
      <c r="A233" s="20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203" t="str">
        <f>IF(ISBLANK(Table35[[#This Row],[Paid to Date]]),"",DATE(YEAR(Table35[[#This Row],[Paid to Date]]),MONTH(Table35[[#This Row],[Paid to Date]]),DAY(Table35[[#This Row],[Paid to Date]])+90))</f>
        <v/>
      </c>
      <c r="M233" s="15"/>
      <c r="N233" s="15"/>
      <c r="O233" s="15"/>
      <c r="P233" s="203" t="str">
        <f>IFERROR(DATE(YEAR(Table35[[#This Row],[Lapsed Date]]),MONTH(Table35[[#This Row],[Lapsed Date]]),DAY(Table35[[#This Row],[Lapsed Date]])+20),"")</f>
        <v/>
      </c>
      <c r="Q233" s="203" t="str">
        <f>IFERROR(EDATE(Table35[[#This Row],[Lapsed Date]],12),"")</f>
        <v/>
      </c>
      <c r="R233" s="203" t="str">
        <f>IFERROR(EDATE(Table35[[#This Row],[Lapsed Date]],24),"")</f>
        <v/>
      </c>
      <c r="S233" s="205">
        <f ca="1">DATEDIF(Table35[[#This Row],[Paid to Date]],TODAY(), "M")</f>
        <v>1516</v>
      </c>
      <c r="T233" s="203">
        <f ca="1">Table35[[#This Row],[Number of Monthly premiums missing]]*(Table35[[#This Row],[Lapsed API]]/12)</f>
        <v>0</v>
      </c>
      <c r="U233" s="204">
        <f>(Table35[[#This Row],[Lapsed API]]/12)*3</f>
        <v>0</v>
      </c>
      <c r="V233" s="15"/>
      <c r="W233" s="19"/>
    </row>
    <row r="234" spans="1:23" ht="20.100000000000001" customHeight="1" x14ac:dyDescent="0.3">
      <c r="A234" s="20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203" t="str">
        <f>IF(ISBLANK(Table35[[#This Row],[Paid to Date]]),"",DATE(YEAR(Table35[[#This Row],[Paid to Date]]),MONTH(Table35[[#This Row],[Paid to Date]]),DAY(Table35[[#This Row],[Paid to Date]])+90))</f>
        <v/>
      </c>
      <c r="M234" s="15"/>
      <c r="N234" s="15"/>
      <c r="O234" s="15"/>
      <c r="P234" s="203" t="str">
        <f>IFERROR(DATE(YEAR(Table35[[#This Row],[Lapsed Date]]),MONTH(Table35[[#This Row],[Lapsed Date]]),DAY(Table35[[#This Row],[Lapsed Date]])+20),"")</f>
        <v/>
      </c>
      <c r="Q234" s="203" t="str">
        <f>IFERROR(EDATE(Table35[[#This Row],[Lapsed Date]],12),"")</f>
        <v/>
      </c>
      <c r="R234" s="203" t="str">
        <f>IFERROR(EDATE(Table35[[#This Row],[Lapsed Date]],24),"")</f>
        <v/>
      </c>
      <c r="S234" s="205">
        <f ca="1">DATEDIF(Table35[[#This Row],[Paid to Date]],TODAY(), "M")</f>
        <v>1516</v>
      </c>
      <c r="T234" s="203">
        <f ca="1">Table35[[#This Row],[Number of Monthly premiums missing]]*(Table35[[#This Row],[Lapsed API]]/12)</f>
        <v>0</v>
      </c>
      <c r="U234" s="204">
        <f>(Table35[[#This Row],[Lapsed API]]/12)*3</f>
        <v>0</v>
      </c>
      <c r="V234" s="15"/>
      <c r="W234" s="19"/>
    </row>
    <row r="235" spans="1:23" ht="20.100000000000001" customHeight="1" x14ac:dyDescent="0.3">
      <c r="A235" s="20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203" t="str">
        <f>IF(ISBLANK(Table35[[#This Row],[Paid to Date]]),"",DATE(YEAR(Table35[[#This Row],[Paid to Date]]),MONTH(Table35[[#This Row],[Paid to Date]]),DAY(Table35[[#This Row],[Paid to Date]])+90))</f>
        <v/>
      </c>
      <c r="M235" s="15"/>
      <c r="N235" s="15"/>
      <c r="O235" s="15"/>
      <c r="P235" s="203" t="str">
        <f>IFERROR(DATE(YEAR(Table35[[#This Row],[Lapsed Date]]),MONTH(Table35[[#This Row],[Lapsed Date]]),DAY(Table35[[#This Row],[Lapsed Date]])+20),"")</f>
        <v/>
      </c>
      <c r="Q235" s="203" t="str">
        <f>IFERROR(EDATE(Table35[[#This Row],[Lapsed Date]],12),"")</f>
        <v/>
      </c>
      <c r="R235" s="203" t="str">
        <f>IFERROR(EDATE(Table35[[#This Row],[Lapsed Date]],24),"")</f>
        <v/>
      </c>
      <c r="S235" s="205">
        <f ca="1">DATEDIF(Table35[[#This Row],[Paid to Date]],TODAY(), "M")</f>
        <v>1516</v>
      </c>
      <c r="T235" s="203">
        <f ca="1">Table35[[#This Row],[Number of Monthly premiums missing]]*(Table35[[#This Row],[Lapsed API]]/12)</f>
        <v>0</v>
      </c>
      <c r="U235" s="204">
        <f>(Table35[[#This Row],[Lapsed API]]/12)*3</f>
        <v>0</v>
      </c>
      <c r="V235" s="15"/>
      <c r="W235" s="19"/>
    </row>
    <row r="236" spans="1:23" ht="20.100000000000001" customHeight="1" x14ac:dyDescent="0.3">
      <c r="A236" s="20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203" t="str">
        <f>IF(ISBLANK(Table35[[#This Row],[Paid to Date]]),"",DATE(YEAR(Table35[[#This Row],[Paid to Date]]),MONTH(Table35[[#This Row],[Paid to Date]]),DAY(Table35[[#This Row],[Paid to Date]])+90))</f>
        <v/>
      </c>
      <c r="M236" s="15"/>
      <c r="N236" s="15"/>
      <c r="O236" s="15"/>
      <c r="P236" s="203" t="str">
        <f>IFERROR(DATE(YEAR(Table35[[#This Row],[Lapsed Date]]),MONTH(Table35[[#This Row],[Lapsed Date]]),DAY(Table35[[#This Row],[Lapsed Date]])+20),"")</f>
        <v/>
      </c>
      <c r="Q236" s="203" t="str">
        <f>IFERROR(EDATE(Table35[[#This Row],[Lapsed Date]],12),"")</f>
        <v/>
      </c>
      <c r="R236" s="203" t="str">
        <f>IFERROR(EDATE(Table35[[#This Row],[Lapsed Date]],24),"")</f>
        <v/>
      </c>
      <c r="S236" s="205">
        <f ca="1">DATEDIF(Table35[[#This Row],[Paid to Date]],TODAY(), "M")</f>
        <v>1516</v>
      </c>
      <c r="T236" s="203">
        <f ca="1">Table35[[#This Row],[Number of Monthly premiums missing]]*(Table35[[#This Row],[Lapsed API]]/12)</f>
        <v>0</v>
      </c>
      <c r="U236" s="204">
        <f>(Table35[[#This Row],[Lapsed API]]/12)*3</f>
        <v>0</v>
      </c>
      <c r="V236" s="15"/>
      <c r="W236" s="19"/>
    </row>
    <row r="237" spans="1:23" ht="20.100000000000001" customHeight="1" x14ac:dyDescent="0.3">
      <c r="A237" s="20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203" t="str">
        <f>IF(ISBLANK(Table35[[#This Row],[Paid to Date]]),"",DATE(YEAR(Table35[[#This Row],[Paid to Date]]),MONTH(Table35[[#This Row],[Paid to Date]]),DAY(Table35[[#This Row],[Paid to Date]])+90))</f>
        <v/>
      </c>
      <c r="M237" s="15"/>
      <c r="N237" s="15"/>
      <c r="O237" s="15"/>
      <c r="P237" s="203" t="str">
        <f>IFERROR(DATE(YEAR(Table35[[#This Row],[Lapsed Date]]),MONTH(Table35[[#This Row],[Lapsed Date]]),DAY(Table35[[#This Row],[Lapsed Date]])+20),"")</f>
        <v/>
      </c>
      <c r="Q237" s="203" t="str">
        <f>IFERROR(EDATE(Table35[[#This Row],[Lapsed Date]],12),"")</f>
        <v/>
      </c>
      <c r="R237" s="203" t="str">
        <f>IFERROR(EDATE(Table35[[#This Row],[Lapsed Date]],24),"")</f>
        <v/>
      </c>
      <c r="S237" s="205">
        <f ca="1">DATEDIF(Table35[[#This Row],[Paid to Date]],TODAY(), "M")</f>
        <v>1516</v>
      </c>
      <c r="T237" s="203">
        <f ca="1">Table35[[#This Row],[Number of Monthly premiums missing]]*(Table35[[#This Row],[Lapsed API]]/12)</f>
        <v>0</v>
      </c>
      <c r="U237" s="204">
        <f>(Table35[[#This Row],[Lapsed API]]/12)*3</f>
        <v>0</v>
      </c>
      <c r="V237" s="15"/>
      <c r="W237" s="19"/>
    </row>
    <row r="238" spans="1:23" ht="20.100000000000001" customHeight="1" x14ac:dyDescent="0.3">
      <c r="A238" s="20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203" t="str">
        <f>IF(ISBLANK(Table35[[#This Row],[Paid to Date]]),"",DATE(YEAR(Table35[[#This Row],[Paid to Date]]),MONTH(Table35[[#This Row],[Paid to Date]]),DAY(Table35[[#This Row],[Paid to Date]])+90))</f>
        <v/>
      </c>
      <c r="M238" s="15"/>
      <c r="N238" s="15"/>
      <c r="O238" s="15"/>
      <c r="P238" s="203" t="str">
        <f>IFERROR(DATE(YEAR(Table35[[#This Row],[Lapsed Date]]),MONTH(Table35[[#This Row],[Lapsed Date]]),DAY(Table35[[#This Row],[Lapsed Date]])+20),"")</f>
        <v/>
      </c>
      <c r="Q238" s="203" t="str">
        <f>IFERROR(EDATE(Table35[[#This Row],[Lapsed Date]],12),"")</f>
        <v/>
      </c>
      <c r="R238" s="203" t="str">
        <f>IFERROR(EDATE(Table35[[#This Row],[Lapsed Date]],24),"")</f>
        <v/>
      </c>
      <c r="S238" s="205">
        <f ca="1">DATEDIF(Table35[[#This Row],[Paid to Date]],TODAY(), "M")</f>
        <v>1516</v>
      </c>
      <c r="T238" s="203">
        <f ca="1">Table35[[#This Row],[Number of Monthly premiums missing]]*(Table35[[#This Row],[Lapsed API]]/12)</f>
        <v>0</v>
      </c>
      <c r="U238" s="204">
        <f>(Table35[[#This Row],[Lapsed API]]/12)*3</f>
        <v>0</v>
      </c>
      <c r="V238" s="15"/>
      <c r="W238" s="19"/>
    </row>
    <row r="239" spans="1:23" ht="20.100000000000001" customHeight="1" x14ac:dyDescent="0.3">
      <c r="A239" s="20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203" t="str">
        <f>IF(ISBLANK(Table35[[#This Row],[Paid to Date]]),"",DATE(YEAR(Table35[[#This Row],[Paid to Date]]),MONTH(Table35[[#This Row],[Paid to Date]]),DAY(Table35[[#This Row],[Paid to Date]])+90))</f>
        <v/>
      </c>
      <c r="M239" s="15"/>
      <c r="N239" s="15"/>
      <c r="O239" s="15"/>
      <c r="P239" s="203" t="str">
        <f>IFERROR(DATE(YEAR(Table35[[#This Row],[Lapsed Date]]),MONTH(Table35[[#This Row],[Lapsed Date]]),DAY(Table35[[#This Row],[Lapsed Date]])+20),"")</f>
        <v/>
      </c>
      <c r="Q239" s="203" t="str">
        <f>IFERROR(EDATE(Table35[[#This Row],[Lapsed Date]],12),"")</f>
        <v/>
      </c>
      <c r="R239" s="203" t="str">
        <f>IFERROR(EDATE(Table35[[#This Row],[Lapsed Date]],24),"")</f>
        <v/>
      </c>
      <c r="S239" s="205">
        <f ca="1">DATEDIF(Table35[[#This Row],[Paid to Date]],TODAY(), "M")</f>
        <v>1516</v>
      </c>
      <c r="T239" s="203">
        <f ca="1">Table35[[#This Row],[Number of Monthly premiums missing]]*(Table35[[#This Row],[Lapsed API]]/12)</f>
        <v>0</v>
      </c>
      <c r="U239" s="204">
        <f>(Table35[[#This Row],[Lapsed API]]/12)*3</f>
        <v>0</v>
      </c>
      <c r="V239" s="15"/>
      <c r="W239" s="19"/>
    </row>
    <row r="240" spans="1:23" ht="20.100000000000001" customHeight="1" x14ac:dyDescent="0.3">
      <c r="A240" s="20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203" t="str">
        <f>IF(ISBLANK(Table35[[#This Row],[Paid to Date]]),"",DATE(YEAR(Table35[[#This Row],[Paid to Date]]),MONTH(Table35[[#This Row],[Paid to Date]]),DAY(Table35[[#This Row],[Paid to Date]])+90))</f>
        <v/>
      </c>
      <c r="M240" s="15"/>
      <c r="N240" s="15"/>
      <c r="O240" s="15"/>
      <c r="P240" s="203" t="str">
        <f>IFERROR(DATE(YEAR(Table35[[#This Row],[Lapsed Date]]),MONTH(Table35[[#This Row],[Lapsed Date]]),DAY(Table35[[#This Row],[Lapsed Date]])+20),"")</f>
        <v/>
      </c>
      <c r="Q240" s="203" t="str">
        <f>IFERROR(EDATE(Table35[[#This Row],[Lapsed Date]],12),"")</f>
        <v/>
      </c>
      <c r="R240" s="203" t="str">
        <f>IFERROR(EDATE(Table35[[#This Row],[Lapsed Date]],24),"")</f>
        <v/>
      </c>
      <c r="S240" s="205">
        <f ca="1">DATEDIF(Table35[[#This Row],[Paid to Date]],TODAY(), "M")</f>
        <v>1516</v>
      </c>
      <c r="T240" s="203">
        <f ca="1">Table35[[#This Row],[Number of Monthly premiums missing]]*(Table35[[#This Row],[Lapsed API]]/12)</f>
        <v>0</v>
      </c>
      <c r="U240" s="204">
        <f>(Table35[[#This Row],[Lapsed API]]/12)*3</f>
        <v>0</v>
      </c>
      <c r="V240" s="15"/>
      <c r="W240" s="19"/>
    </row>
    <row r="241" spans="1:23" ht="20.100000000000001" customHeight="1" x14ac:dyDescent="0.3">
      <c r="A241" s="20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203" t="str">
        <f>IF(ISBLANK(Table35[[#This Row],[Paid to Date]]),"",DATE(YEAR(Table35[[#This Row],[Paid to Date]]),MONTH(Table35[[#This Row],[Paid to Date]]),DAY(Table35[[#This Row],[Paid to Date]])+90))</f>
        <v/>
      </c>
      <c r="M241" s="15"/>
      <c r="N241" s="15"/>
      <c r="O241" s="15"/>
      <c r="P241" s="203" t="str">
        <f>IFERROR(DATE(YEAR(Table35[[#This Row],[Lapsed Date]]),MONTH(Table35[[#This Row],[Lapsed Date]]),DAY(Table35[[#This Row],[Lapsed Date]])+20),"")</f>
        <v/>
      </c>
      <c r="Q241" s="203" t="str">
        <f>IFERROR(EDATE(Table35[[#This Row],[Lapsed Date]],12),"")</f>
        <v/>
      </c>
      <c r="R241" s="203" t="str">
        <f>IFERROR(EDATE(Table35[[#This Row],[Lapsed Date]],24),"")</f>
        <v/>
      </c>
      <c r="S241" s="205">
        <f ca="1">DATEDIF(Table35[[#This Row],[Paid to Date]],TODAY(), "M")</f>
        <v>1516</v>
      </c>
      <c r="T241" s="203">
        <f ca="1">Table35[[#This Row],[Number of Monthly premiums missing]]*(Table35[[#This Row],[Lapsed API]]/12)</f>
        <v>0</v>
      </c>
      <c r="U241" s="204">
        <f>(Table35[[#This Row],[Lapsed API]]/12)*3</f>
        <v>0</v>
      </c>
      <c r="V241" s="15"/>
      <c r="W241" s="19"/>
    </row>
    <row r="242" spans="1:23" ht="20.100000000000001" customHeight="1" x14ac:dyDescent="0.3">
      <c r="A242" s="20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203" t="str">
        <f>IF(ISBLANK(Table35[[#This Row],[Paid to Date]]),"",DATE(YEAR(Table35[[#This Row],[Paid to Date]]),MONTH(Table35[[#This Row],[Paid to Date]]),DAY(Table35[[#This Row],[Paid to Date]])+90))</f>
        <v/>
      </c>
      <c r="M242" s="15"/>
      <c r="N242" s="15"/>
      <c r="O242" s="15"/>
      <c r="P242" s="203" t="str">
        <f>IFERROR(DATE(YEAR(Table35[[#This Row],[Lapsed Date]]),MONTH(Table35[[#This Row],[Lapsed Date]]),DAY(Table35[[#This Row],[Lapsed Date]])+20),"")</f>
        <v/>
      </c>
      <c r="Q242" s="203" t="str">
        <f>IFERROR(EDATE(Table35[[#This Row],[Lapsed Date]],12),"")</f>
        <v/>
      </c>
      <c r="R242" s="203" t="str">
        <f>IFERROR(EDATE(Table35[[#This Row],[Lapsed Date]],24),"")</f>
        <v/>
      </c>
      <c r="S242" s="205">
        <f ca="1">DATEDIF(Table35[[#This Row],[Paid to Date]],TODAY(), "M")</f>
        <v>1516</v>
      </c>
      <c r="T242" s="203">
        <f ca="1">Table35[[#This Row],[Number of Monthly premiums missing]]*(Table35[[#This Row],[Lapsed API]]/12)</f>
        <v>0</v>
      </c>
      <c r="U242" s="204">
        <f>(Table35[[#This Row],[Lapsed API]]/12)*3</f>
        <v>0</v>
      </c>
      <c r="V242" s="15"/>
      <c r="W242" s="19"/>
    </row>
    <row r="243" spans="1:23" ht="20.100000000000001" customHeight="1" x14ac:dyDescent="0.3">
      <c r="A243" s="20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203" t="str">
        <f>IF(ISBLANK(Table35[[#This Row],[Paid to Date]]),"",DATE(YEAR(Table35[[#This Row],[Paid to Date]]),MONTH(Table35[[#This Row],[Paid to Date]]),DAY(Table35[[#This Row],[Paid to Date]])+90))</f>
        <v/>
      </c>
      <c r="M243" s="15"/>
      <c r="N243" s="15"/>
      <c r="O243" s="15"/>
      <c r="P243" s="203" t="str">
        <f>IFERROR(DATE(YEAR(Table35[[#This Row],[Lapsed Date]]),MONTH(Table35[[#This Row],[Lapsed Date]]),DAY(Table35[[#This Row],[Lapsed Date]])+20),"")</f>
        <v/>
      </c>
      <c r="Q243" s="203" t="str">
        <f>IFERROR(EDATE(Table35[[#This Row],[Lapsed Date]],12),"")</f>
        <v/>
      </c>
      <c r="R243" s="203" t="str">
        <f>IFERROR(EDATE(Table35[[#This Row],[Lapsed Date]],24),"")</f>
        <v/>
      </c>
      <c r="S243" s="205">
        <f ca="1">DATEDIF(Table35[[#This Row],[Paid to Date]],TODAY(), "M")</f>
        <v>1516</v>
      </c>
      <c r="T243" s="203">
        <f ca="1">Table35[[#This Row],[Number of Monthly premiums missing]]*(Table35[[#This Row],[Lapsed API]]/12)</f>
        <v>0</v>
      </c>
      <c r="U243" s="204">
        <f>(Table35[[#This Row],[Lapsed API]]/12)*3</f>
        <v>0</v>
      </c>
      <c r="V243" s="15"/>
      <c r="W243" s="19"/>
    </row>
    <row r="244" spans="1:23" ht="20.100000000000001" customHeight="1" x14ac:dyDescent="0.3">
      <c r="A244" s="20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203" t="str">
        <f>IF(ISBLANK(Table35[[#This Row],[Paid to Date]]),"",DATE(YEAR(Table35[[#This Row],[Paid to Date]]),MONTH(Table35[[#This Row],[Paid to Date]]),DAY(Table35[[#This Row],[Paid to Date]])+90))</f>
        <v/>
      </c>
      <c r="M244" s="15"/>
      <c r="N244" s="15"/>
      <c r="O244" s="15"/>
      <c r="P244" s="203" t="str">
        <f>IFERROR(DATE(YEAR(Table35[[#This Row],[Lapsed Date]]),MONTH(Table35[[#This Row],[Lapsed Date]]),DAY(Table35[[#This Row],[Lapsed Date]])+20),"")</f>
        <v/>
      </c>
      <c r="Q244" s="203" t="str">
        <f>IFERROR(EDATE(Table35[[#This Row],[Lapsed Date]],12),"")</f>
        <v/>
      </c>
      <c r="R244" s="203" t="str">
        <f>IFERROR(EDATE(Table35[[#This Row],[Lapsed Date]],24),"")</f>
        <v/>
      </c>
      <c r="S244" s="205">
        <f ca="1">DATEDIF(Table35[[#This Row],[Paid to Date]],TODAY(), "M")</f>
        <v>1516</v>
      </c>
      <c r="T244" s="203">
        <f ca="1">Table35[[#This Row],[Number of Monthly premiums missing]]*(Table35[[#This Row],[Lapsed API]]/12)</f>
        <v>0</v>
      </c>
      <c r="U244" s="204">
        <f>(Table35[[#This Row],[Lapsed API]]/12)*3</f>
        <v>0</v>
      </c>
      <c r="V244" s="15"/>
      <c r="W244" s="19"/>
    </row>
    <row r="245" spans="1:23" ht="20.100000000000001" customHeight="1" x14ac:dyDescent="0.3">
      <c r="A245" s="20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203" t="str">
        <f>IF(ISBLANK(Table35[[#This Row],[Paid to Date]]),"",DATE(YEAR(Table35[[#This Row],[Paid to Date]]),MONTH(Table35[[#This Row],[Paid to Date]]),DAY(Table35[[#This Row],[Paid to Date]])+90))</f>
        <v/>
      </c>
      <c r="M245" s="15"/>
      <c r="N245" s="15"/>
      <c r="O245" s="15"/>
      <c r="P245" s="203" t="str">
        <f>IFERROR(DATE(YEAR(Table35[[#This Row],[Lapsed Date]]),MONTH(Table35[[#This Row],[Lapsed Date]]),DAY(Table35[[#This Row],[Lapsed Date]])+20),"")</f>
        <v/>
      </c>
      <c r="Q245" s="203" t="str">
        <f>IFERROR(EDATE(Table35[[#This Row],[Lapsed Date]],12),"")</f>
        <v/>
      </c>
      <c r="R245" s="203" t="str">
        <f>IFERROR(EDATE(Table35[[#This Row],[Lapsed Date]],24),"")</f>
        <v/>
      </c>
      <c r="S245" s="205">
        <f ca="1">DATEDIF(Table35[[#This Row],[Paid to Date]],TODAY(), "M")</f>
        <v>1516</v>
      </c>
      <c r="T245" s="203">
        <f ca="1">Table35[[#This Row],[Number of Monthly premiums missing]]*(Table35[[#This Row],[Lapsed API]]/12)</f>
        <v>0</v>
      </c>
      <c r="U245" s="204">
        <f>(Table35[[#This Row],[Lapsed API]]/12)*3</f>
        <v>0</v>
      </c>
      <c r="V245" s="15"/>
      <c r="W245" s="19"/>
    </row>
    <row r="246" spans="1:23" ht="20.100000000000001" customHeight="1" x14ac:dyDescent="0.3">
      <c r="A246" s="20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203" t="str">
        <f>IF(ISBLANK(Table35[[#This Row],[Paid to Date]]),"",DATE(YEAR(Table35[[#This Row],[Paid to Date]]),MONTH(Table35[[#This Row],[Paid to Date]]),DAY(Table35[[#This Row],[Paid to Date]])+90))</f>
        <v/>
      </c>
      <c r="M246" s="15"/>
      <c r="N246" s="15"/>
      <c r="O246" s="15"/>
      <c r="P246" s="203" t="str">
        <f>IFERROR(DATE(YEAR(Table35[[#This Row],[Lapsed Date]]),MONTH(Table35[[#This Row],[Lapsed Date]]),DAY(Table35[[#This Row],[Lapsed Date]])+20),"")</f>
        <v/>
      </c>
      <c r="Q246" s="203" t="str">
        <f>IFERROR(EDATE(Table35[[#This Row],[Lapsed Date]],12),"")</f>
        <v/>
      </c>
      <c r="R246" s="203" t="str">
        <f>IFERROR(EDATE(Table35[[#This Row],[Lapsed Date]],24),"")</f>
        <v/>
      </c>
      <c r="S246" s="205">
        <f ca="1">DATEDIF(Table35[[#This Row],[Paid to Date]],TODAY(), "M")</f>
        <v>1516</v>
      </c>
      <c r="T246" s="203">
        <f ca="1">Table35[[#This Row],[Number of Monthly premiums missing]]*(Table35[[#This Row],[Lapsed API]]/12)</f>
        <v>0</v>
      </c>
      <c r="U246" s="204">
        <f>(Table35[[#This Row],[Lapsed API]]/12)*3</f>
        <v>0</v>
      </c>
      <c r="V246" s="15"/>
      <c r="W246" s="19"/>
    </row>
    <row r="247" spans="1:23" ht="20.100000000000001" customHeight="1" x14ac:dyDescent="0.3">
      <c r="A247" s="20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203" t="str">
        <f>IF(ISBLANK(Table35[[#This Row],[Paid to Date]]),"",DATE(YEAR(Table35[[#This Row],[Paid to Date]]),MONTH(Table35[[#This Row],[Paid to Date]]),DAY(Table35[[#This Row],[Paid to Date]])+90))</f>
        <v/>
      </c>
      <c r="M247" s="15"/>
      <c r="N247" s="15"/>
      <c r="O247" s="15"/>
      <c r="P247" s="203" t="str">
        <f>IFERROR(DATE(YEAR(Table35[[#This Row],[Lapsed Date]]),MONTH(Table35[[#This Row],[Lapsed Date]]),DAY(Table35[[#This Row],[Lapsed Date]])+20),"")</f>
        <v/>
      </c>
      <c r="Q247" s="203" t="str">
        <f>IFERROR(EDATE(Table35[[#This Row],[Lapsed Date]],12),"")</f>
        <v/>
      </c>
      <c r="R247" s="203" t="str">
        <f>IFERROR(EDATE(Table35[[#This Row],[Lapsed Date]],24),"")</f>
        <v/>
      </c>
      <c r="S247" s="205">
        <f ca="1">DATEDIF(Table35[[#This Row],[Paid to Date]],TODAY(), "M")</f>
        <v>1516</v>
      </c>
      <c r="T247" s="203">
        <f ca="1">Table35[[#This Row],[Number of Monthly premiums missing]]*(Table35[[#This Row],[Lapsed API]]/12)</f>
        <v>0</v>
      </c>
      <c r="U247" s="204">
        <f>(Table35[[#This Row],[Lapsed API]]/12)*3</f>
        <v>0</v>
      </c>
      <c r="V247" s="15"/>
      <c r="W247" s="19"/>
    </row>
    <row r="248" spans="1:23" ht="20.100000000000001" customHeight="1" x14ac:dyDescent="0.3">
      <c r="A248" s="20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203" t="str">
        <f>IF(ISBLANK(Table35[[#This Row],[Paid to Date]]),"",DATE(YEAR(Table35[[#This Row],[Paid to Date]]),MONTH(Table35[[#This Row],[Paid to Date]]),DAY(Table35[[#This Row],[Paid to Date]])+90))</f>
        <v/>
      </c>
      <c r="M248" s="15"/>
      <c r="N248" s="15"/>
      <c r="O248" s="15"/>
      <c r="P248" s="203" t="str">
        <f>IFERROR(DATE(YEAR(Table35[[#This Row],[Lapsed Date]]),MONTH(Table35[[#This Row],[Lapsed Date]]),DAY(Table35[[#This Row],[Lapsed Date]])+20),"")</f>
        <v/>
      </c>
      <c r="Q248" s="203" t="str">
        <f>IFERROR(EDATE(Table35[[#This Row],[Lapsed Date]],12),"")</f>
        <v/>
      </c>
      <c r="R248" s="203" t="str">
        <f>IFERROR(EDATE(Table35[[#This Row],[Lapsed Date]],24),"")</f>
        <v/>
      </c>
      <c r="S248" s="205">
        <f ca="1">DATEDIF(Table35[[#This Row],[Paid to Date]],TODAY(), "M")</f>
        <v>1516</v>
      </c>
      <c r="T248" s="203">
        <f ca="1">Table35[[#This Row],[Number of Monthly premiums missing]]*(Table35[[#This Row],[Lapsed API]]/12)</f>
        <v>0</v>
      </c>
      <c r="U248" s="204">
        <f>(Table35[[#This Row],[Lapsed API]]/12)*3</f>
        <v>0</v>
      </c>
      <c r="V248" s="15"/>
      <c r="W248" s="19"/>
    </row>
    <row r="249" spans="1:23" ht="20.100000000000001" customHeight="1" x14ac:dyDescent="0.3">
      <c r="A249" s="20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203" t="str">
        <f>IF(ISBLANK(Table35[[#This Row],[Paid to Date]]),"",DATE(YEAR(Table35[[#This Row],[Paid to Date]]),MONTH(Table35[[#This Row],[Paid to Date]]),DAY(Table35[[#This Row],[Paid to Date]])+90))</f>
        <v/>
      </c>
      <c r="M249" s="15"/>
      <c r="N249" s="15"/>
      <c r="O249" s="15"/>
      <c r="P249" s="203" t="str">
        <f>IFERROR(DATE(YEAR(Table35[[#This Row],[Lapsed Date]]),MONTH(Table35[[#This Row],[Lapsed Date]]),DAY(Table35[[#This Row],[Lapsed Date]])+20),"")</f>
        <v/>
      </c>
      <c r="Q249" s="203" t="str">
        <f>IFERROR(EDATE(Table35[[#This Row],[Lapsed Date]],12),"")</f>
        <v/>
      </c>
      <c r="R249" s="203" t="str">
        <f>IFERROR(EDATE(Table35[[#This Row],[Lapsed Date]],24),"")</f>
        <v/>
      </c>
      <c r="S249" s="205">
        <f ca="1">DATEDIF(Table35[[#This Row],[Paid to Date]],TODAY(), "M")</f>
        <v>1516</v>
      </c>
      <c r="T249" s="203">
        <f ca="1">Table35[[#This Row],[Number of Monthly premiums missing]]*(Table35[[#This Row],[Lapsed API]]/12)</f>
        <v>0</v>
      </c>
      <c r="U249" s="204">
        <f>(Table35[[#This Row],[Lapsed API]]/12)*3</f>
        <v>0</v>
      </c>
      <c r="V249" s="15"/>
      <c r="W249" s="19"/>
    </row>
    <row r="250" spans="1:23" ht="20.100000000000001" customHeight="1" x14ac:dyDescent="0.3">
      <c r="A250" s="20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203" t="str">
        <f>IF(ISBLANK(Table35[[#This Row],[Paid to Date]]),"",DATE(YEAR(Table35[[#This Row],[Paid to Date]]),MONTH(Table35[[#This Row],[Paid to Date]]),DAY(Table35[[#This Row],[Paid to Date]])+90))</f>
        <v/>
      </c>
      <c r="M250" s="15"/>
      <c r="N250" s="15"/>
      <c r="O250" s="15"/>
      <c r="P250" s="203" t="str">
        <f>IFERROR(DATE(YEAR(Table35[[#This Row],[Lapsed Date]]),MONTH(Table35[[#This Row],[Lapsed Date]]),DAY(Table35[[#This Row],[Lapsed Date]])+20),"")</f>
        <v/>
      </c>
      <c r="Q250" s="203" t="str">
        <f>IFERROR(EDATE(Table35[[#This Row],[Lapsed Date]],12),"")</f>
        <v/>
      </c>
      <c r="R250" s="203" t="str">
        <f>IFERROR(EDATE(Table35[[#This Row],[Lapsed Date]],24),"")</f>
        <v/>
      </c>
      <c r="S250" s="205">
        <f ca="1">DATEDIF(Table35[[#This Row],[Paid to Date]],TODAY(), "M")</f>
        <v>1516</v>
      </c>
      <c r="T250" s="203">
        <f ca="1">Table35[[#This Row],[Number of Monthly premiums missing]]*(Table35[[#This Row],[Lapsed API]]/12)</f>
        <v>0</v>
      </c>
      <c r="U250" s="204">
        <f>(Table35[[#This Row],[Lapsed API]]/12)*3</f>
        <v>0</v>
      </c>
      <c r="V250" s="15"/>
      <c r="W250" s="19"/>
    </row>
    <row r="251" spans="1:23" ht="20.100000000000001" customHeight="1" x14ac:dyDescent="0.3">
      <c r="A251" s="20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203" t="str">
        <f>IF(ISBLANK(Table35[[#This Row],[Paid to Date]]),"",DATE(YEAR(Table35[[#This Row],[Paid to Date]]),MONTH(Table35[[#This Row],[Paid to Date]]),DAY(Table35[[#This Row],[Paid to Date]])+90))</f>
        <v/>
      </c>
      <c r="M251" s="15"/>
      <c r="N251" s="15"/>
      <c r="O251" s="15"/>
      <c r="P251" s="203" t="str">
        <f>IFERROR(DATE(YEAR(Table35[[#This Row],[Lapsed Date]]),MONTH(Table35[[#This Row],[Lapsed Date]]),DAY(Table35[[#This Row],[Lapsed Date]])+20),"")</f>
        <v/>
      </c>
      <c r="Q251" s="203" t="str">
        <f>IFERROR(EDATE(Table35[[#This Row],[Lapsed Date]],12),"")</f>
        <v/>
      </c>
      <c r="R251" s="203" t="str">
        <f>IFERROR(EDATE(Table35[[#This Row],[Lapsed Date]],24),"")</f>
        <v/>
      </c>
      <c r="S251" s="205">
        <f ca="1">DATEDIF(Table35[[#This Row],[Paid to Date]],TODAY(), "M")</f>
        <v>1516</v>
      </c>
      <c r="T251" s="203">
        <f ca="1">Table35[[#This Row],[Number of Monthly premiums missing]]*(Table35[[#This Row],[Lapsed API]]/12)</f>
        <v>0</v>
      </c>
      <c r="U251" s="204">
        <f>(Table35[[#This Row],[Lapsed API]]/12)*3</f>
        <v>0</v>
      </c>
      <c r="V251" s="15"/>
      <c r="W251" s="19"/>
    </row>
    <row r="252" spans="1:23" ht="20.100000000000001" customHeight="1" x14ac:dyDescent="0.3">
      <c r="A252" s="20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203" t="str">
        <f>IF(ISBLANK(Table35[[#This Row],[Paid to Date]]),"",DATE(YEAR(Table35[[#This Row],[Paid to Date]]),MONTH(Table35[[#This Row],[Paid to Date]]),DAY(Table35[[#This Row],[Paid to Date]])+90))</f>
        <v/>
      </c>
      <c r="M252" s="15"/>
      <c r="N252" s="15"/>
      <c r="O252" s="15"/>
      <c r="P252" s="203" t="str">
        <f>IFERROR(DATE(YEAR(Table35[[#This Row],[Lapsed Date]]),MONTH(Table35[[#This Row],[Lapsed Date]]),DAY(Table35[[#This Row],[Lapsed Date]])+20),"")</f>
        <v/>
      </c>
      <c r="Q252" s="203" t="str">
        <f>IFERROR(EDATE(Table35[[#This Row],[Lapsed Date]],12),"")</f>
        <v/>
      </c>
      <c r="R252" s="203" t="str">
        <f>IFERROR(EDATE(Table35[[#This Row],[Lapsed Date]],24),"")</f>
        <v/>
      </c>
      <c r="S252" s="205">
        <f ca="1">DATEDIF(Table35[[#This Row],[Paid to Date]],TODAY(), "M")</f>
        <v>1516</v>
      </c>
      <c r="T252" s="203">
        <f ca="1">Table35[[#This Row],[Number of Monthly premiums missing]]*(Table35[[#This Row],[Lapsed API]]/12)</f>
        <v>0</v>
      </c>
      <c r="U252" s="204">
        <f>(Table35[[#This Row],[Lapsed API]]/12)*3</f>
        <v>0</v>
      </c>
      <c r="V252" s="15"/>
      <c r="W252" s="19"/>
    </row>
    <row r="253" spans="1:23" ht="20.100000000000001" customHeight="1" x14ac:dyDescent="0.3">
      <c r="A253" s="20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203" t="str">
        <f>IF(ISBLANK(Table35[[#This Row],[Paid to Date]]),"",DATE(YEAR(Table35[[#This Row],[Paid to Date]]),MONTH(Table35[[#This Row],[Paid to Date]]),DAY(Table35[[#This Row],[Paid to Date]])+90))</f>
        <v/>
      </c>
      <c r="M253" s="15"/>
      <c r="N253" s="15"/>
      <c r="O253" s="15"/>
      <c r="P253" s="203" t="str">
        <f>IFERROR(DATE(YEAR(Table35[[#This Row],[Lapsed Date]]),MONTH(Table35[[#This Row],[Lapsed Date]]),DAY(Table35[[#This Row],[Lapsed Date]])+20),"")</f>
        <v/>
      </c>
      <c r="Q253" s="203" t="str">
        <f>IFERROR(EDATE(Table35[[#This Row],[Lapsed Date]],12),"")</f>
        <v/>
      </c>
      <c r="R253" s="203" t="str">
        <f>IFERROR(EDATE(Table35[[#This Row],[Lapsed Date]],24),"")</f>
        <v/>
      </c>
      <c r="S253" s="205">
        <f ca="1">DATEDIF(Table35[[#This Row],[Paid to Date]],TODAY(), "M")</f>
        <v>1516</v>
      </c>
      <c r="T253" s="203">
        <f ca="1">Table35[[#This Row],[Number of Monthly premiums missing]]*(Table35[[#This Row],[Lapsed API]]/12)</f>
        <v>0</v>
      </c>
      <c r="U253" s="204">
        <f>(Table35[[#This Row],[Lapsed API]]/12)*3</f>
        <v>0</v>
      </c>
      <c r="V253" s="15"/>
      <c r="W253" s="19"/>
    </row>
    <row r="254" spans="1:23" ht="20.100000000000001" customHeight="1" x14ac:dyDescent="0.3">
      <c r="A254" s="20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203" t="str">
        <f>IF(ISBLANK(Table35[[#This Row],[Paid to Date]]),"",DATE(YEAR(Table35[[#This Row],[Paid to Date]]),MONTH(Table35[[#This Row],[Paid to Date]]),DAY(Table35[[#This Row],[Paid to Date]])+90))</f>
        <v/>
      </c>
      <c r="M254" s="15"/>
      <c r="N254" s="15"/>
      <c r="O254" s="15"/>
      <c r="P254" s="203" t="str">
        <f>IFERROR(DATE(YEAR(Table35[[#This Row],[Lapsed Date]]),MONTH(Table35[[#This Row],[Lapsed Date]]),DAY(Table35[[#This Row],[Lapsed Date]])+20),"")</f>
        <v/>
      </c>
      <c r="Q254" s="203" t="str">
        <f>IFERROR(EDATE(Table35[[#This Row],[Lapsed Date]],12),"")</f>
        <v/>
      </c>
      <c r="R254" s="203" t="str">
        <f>IFERROR(EDATE(Table35[[#This Row],[Lapsed Date]],24),"")</f>
        <v/>
      </c>
      <c r="S254" s="205">
        <f ca="1">DATEDIF(Table35[[#This Row],[Paid to Date]],TODAY(), "M")</f>
        <v>1516</v>
      </c>
      <c r="T254" s="203">
        <f ca="1">Table35[[#This Row],[Number of Monthly premiums missing]]*(Table35[[#This Row],[Lapsed API]]/12)</f>
        <v>0</v>
      </c>
      <c r="U254" s="204">
        <f>(Table35[[#This Row],[Lapsed API]]/12)*3</f>
        <v>0</v>
      </c>
      <c r="V254" s="15"/>
      <c r="W254" s="19"/>
    </row>
    <row r="255" spans="1:23" ht="20.100000000000001" customHeight="1" x14ac:dyDescent="0.3">
      <c r="A255" s="20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203" t="str">
        <f>IF(ISBLANK(Table35[[#This Row],[Paid to Date]]),"",DATE(YEAR(Table35[[#This Row],[Paid to Date]]),MONTH(Table35[[#This Row],[Paid to Date]]),DAY(Table35[[#This Row],[Paid to Date]])+90))</f>
        <v/>
      </c>
      <c r="M255" s="15"/>
      <c r="N255" s="15"/>
      <c r="O255" s="15"/>
      <c r="P255" s="203" t="str">
        <f>IFERROR(DATE(YEAR(Table35[[#This Row],[Lapsed Date]]),MONTH(Table35[[#This Row],[Lapsed Date]]),DAY(Table35[[#This Row],[Lapsed Date]])+20),"")</f>
        <v/>
      </c>
      <c r="Q255" s="203" t="str">
        <f>IFERROR(EDATE(Table35[[#This Row],[Lapsed Date]],12),"")</f>
        <v/>
      </c>
      <c r="R255" s="203" t="str">
        <f>IFERROR(EDATE(Table35[[#This Row],[Lapsed Date]],24),"")</f>
        <v/>
      </c>
      <c r="S255" s="205">
        <f ca="1">DATEDIF(Table35[[#This Row],[Paid to Date]],TODAY(), "M")</f>
        <v>1516</v>
      </c>
      <c r="T255" s="203">
        <f ca="1">Table35[[#This Row],[Number of Monthly premiums missing]]*(Table35[[#This Row],[Lapsed API]]/12)</f>
        <v>0</v>
      </c>
      <c r="U255" s="204">
        <f>(Table35[[#This Row],[Lapsed API]]/12)*3</f>
        <v>0</v>
      </c>
      <c r="V255" s="15"/>
      <c r="W255" s="19"/>
    </row>
    <row r="256" spans="1:23" ht="20.100000000000001" customHeight="1" x14ac:dyDescent="0.3">
      <c r="A256" s="20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203" t="str">
        <f>IF(ISBLANK(Table35[[#This Row],[Paid to Date]]),"",DATE(YEAR(Table35[[#This Row],[Paid to Date]]),MONTH(Table35[[#This Row],[Paid to Date]]),DAY(Table35[[#This Row],[Paid to Date]])+90))</f>
        <v/>
      </c>
      <c r="M256" s="15"/>
      <c r="N256" s="15"/>
      <c r="O256" s="15"/>
      <c r="P256" s="203" t="str">
        <f>IFERROR(DATE(YEAR(Table35[[#This Row],[Lapsed Date]]),MONTH(Table35[[#This Row],[Lapsed Date]]),DAY(Table35[[#This Row],[Lapsed Date]])+20),"")</f>
        <v/>
      </c>
      <c r="Q256" s="203" t="str">
        <f>IFERROR(EDATE(Table35[[#This Row],[Lapsed Date]],12),"")</f>
        <v/>
      </c>
      <c r="R256" s="203" t="str">
        <f>IFERROR(EDATE(Table35[[#This Row],[Lapsed Date]],24),"")</f>
        <v/>
      </c>
      <c r="S256" s="205">
        <f ca="1">DATEDIF(Table35[[#This Row],[Paid to Date]],TODAY(), "M")</f>
        <v>1516</v>
      </c>
      <c r="T256" s="203">
        <f ca="1">Table35[[#This Row],[Number of Monthly premiums missing]]*(Table35[[#This Row],[Lapsed API]]/12)</f>
        <v>0</v>
      </c>
      <c r="U256" s="204">
        <f>(Table35[[#This Row],[Lapsed API]]/12)*3</f>
        <v>0</v>
      </c>
      <c r="V256" s="15"/>
      <c r="W256" s="19"/>
    </row>
    <row r="257" spans="1:23" ht="20.100000000000001" customHeight="1" x14ac:dyDescent="0.3">
      <c r="A257" s="20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203" t="str">
        <f>IF(ISBLANK(Table35[[#This Row],[Paid to Date]]),"",DATE(YEAR(Table35[[#This Row],[Paid to Date]]),MONTH(Table35[[#This Row],[Paid to Date]]),DAY(Table35[[#This Row],[Paid to Date]])+90))</f>
        <v/>
      </c>
      <c r="M257" s="15"/>
      <c r="N257" s="15"/>
      <c r="O257" s="15"/>
      <c r="P257" s="203" t="str">
        <f>IFERROR(DATE(YEAR(Table35[[#This Row],[Lapsed Date]]),MONTH(Table35[[#This Row],[Lapsed Date]]),DAY(Table35[[#This Row],[Lapsed Date]])+20),"")</f>
        <v/>
      </c>
      <c r="Q257" s="203" t="str">
        <f>IFERROR(EDATE(Table35[[#This Row],[Lapsed Date]],12),"")</f>
        <v/>
      </c>
      <c r="R257" s="203" t="str">
        <f>IFERROR(EDATE(Table35[[#This Row],[Lapsed Date]],24),"")</f>
        <v/>
      </c>
      <c r="S257" s="205">
        <f ca="1">DATEDIF(Table35[[#This Row],[Paid to Date]],TODAY(), "M")</f>
        <v>1516</v>
      </c>
      <c r="T257" s="203">
        <f ca="1">Table35[[#This Row],[Number of Monthly premiums missing]]*(Table35[[#This Row],[Lapsed API]]/12)</f>
        <v>0</v>
      </c>
      <c r="U257" s="204">
        <f>(Table35[[#This Row],[Lapsed API]]/12)*3</f>
        <v>0</v>
      </c>
      <c r="V257" s="15"/>
      <c r="W257" s="19"/>
    </row>
    <row r="258" spans="1:23" ht="20.100000000000001" customHeight="1" x14ac:dyDescent="0.3">
      <c r="A258" s="20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203" t="str">
        <f>IF(ISBLANK(Table35[[#This Row],[Paid to Date]]),"",DATE(YEAR(Table35[[#This Row],[Paid to Date]]),MONTH(Table35[[#This Row],[Paid to Date]]),DAY(Table35[[#This Row],[Paid to Date]])+90))</f>
        <v/>
      </c>
      <c r="M258" s="15"/>
      <c r="N258" s="15"/>
      <c r="O258" s="15"/>
      <c r="P258" s="203" t="str">
        <f>IFERROR(DATE(YEAR(Table35[[#This Row],[Lapsed Date]]),MONTH(Table35[[#This Row],[Lapsed Date]]),DAY(Table35[[#This Row],[Lapsed Date]])+20),"")</f>
        <v/>
      </c>
      <c r="Q258" s="203" t="str">
        <f>IFERROR(EDATE(Table35[[#This Row],[Lapsed Date]],12),"")</f>
        <v/>
      </c>
      <c r="R258" s="203" t="str">
        <f>IFERROR(EDATE(Table35[[#This Row],[Lapsed Date]],24),"")</f>
        <v/>
      </c>
      <c r="S258" s="205">
        <f ca="1">DATEDIF(Table35[[#This Row],[Paid to Date]],TODAY(), "M")</f>
        <v>1516</v>
      </c>
      <c r="T258" s="203">
        <f ca="1">Table35[[#This Row],[Number of Monthly premiums missing]]*(Table35[[#This Row],[Lapsed API]]/12)</f>
        <v>0</v>
      </c>
      <c r="U258" s="204">
        <f>(Table35[[#This Row],[Lapsed API]]/12)*3</f>
        <v>0</v>
      </c>
      <c r="V258" s="15"/>
      <c r="W258" s="19"/>
    </row>
    <row r="259" spans="1:23" ht="20.100000000000001" customHeight="1" x14ac:dyDescent="0.3">
      <c r="A259" s="20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203" t="str">
        <f>IF(ISBLANK(Table35[[#This Row],[Paid to Date]]),"",DATE(YEAR(Table35[[#This Row],[Paid to Date]]),MONTH(Table35[[#This Row],[Paid to Date]]),DAY(Table35[[#This Row],[Paid to Date]])+90))</f>
        <v/>
      </c>
      <c r="M259" s="15"/>
      <c r="N259" s="15"/>
      <c r="O259" s="15"/>
      <c r="P259" s="203" t="str">
        <f>IFERROR(DATE(YEAR(Table35[[#This Row],[Lapsed Date]]),MONTH(Table35[[#This Row],[Lapsed Date]]),DAY(Table35[[#This Row],[Lapsed Date]])+20),"")</f>
        <v/>
      </c>
      <c r="Q259" s="203" t="str">
        <f>IFERROR(EDATE(Table35[[#This Row],[Lapsed Date]],12),"")</f>
        <v/>
      </c>
      <c r="R259" s="203" t="str">
        <f>IFERROR(EDATE(Table35[[#This Row],[Lapsed Date]],24),"")</f>
        <v/>
      </c>
      <c r="S259" s="205">
        <f ca="1">DATEDIF(Table35[[#This Row],[Paid to Date]],TODAY(), "M")</f>
        <v>1516</v>
      </c>
      <c r="T259" s="203">
        <f ca="1">Table35[[#This Row],[Number of Monthly premiums missing]]*(Table35[[#This Row],[Lapsed API]]/12)</f>
        <v>0</v>
      </c>
      <c r="U259" s="204">
        <f>(Table35[[#This Row],[Lapsed API]]/12)*3</f>
        <v>0</v>
      </c>
      <c r="V259" s="15"/>
      <c r="W259" s="19"/>
    </row>
    <row r="260" spans="1:23" ht="20.100000000000001" customHeight="1" x14ac:dyDescent="0.3">
      <c r="A260" s="20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203" t="str">
        <f>IF(ISBLANK(Table35[[#This Row],[Paid to Date]]),"",DATE(YEAR(Table35[[#This Row],[Paid to Date]]),MONTH(Table35[[#This Row],[Paid to Date]]),DAY(Table35[[#This Row],[Paid to Date]])+90))</f>
        <v/>
      </c>
      <c r="M260" s="15"/>
      <c r="N260" s="15"/>
      <c r="O260" s="15"/>
      <c r="P260" s="203" t="str">
        <f>IFERROR(DATE(YEAR(Table35[[#This Row],[Lapsed Date]]),MONTH(Table35[[#This Row],[Lapsed Date]]),DAY(Table35[[#This Row],[Lapsed Date]])+20),"")</f>
        <v/>
      </c>
      <c r="Q260" s="203" t="str">
        <f>IFERROR(EDATE(Table35[[#This Row],[Lapsed Date]],12),"")</f>
        <v/>
      </c>
      <c r="R260" s="203" t="str">
        <f>IFERROR(EDATE(Table35[[#This Row],[Lapsed Date]],24),"")</f>
        <v/>
      </c>
      <c r="S260" s="205">
        <f ca="1">DATEDIF(Table35[[#This Row],[Paid to Date]],TODAY(), "M")</f>
        <v>1516</v>
      </c>
      <c r="T260" s="203">
        <f ca="1">Table35[[#This Row],[Number of Monthly premiums missing]]*(Table35[[#This Row],[Lapsed API]]/12)</f>
        <v>0</v>
      </c>
      <c r="U260" s="204">
        <f>(Table35[[#This Row],[Lapsed API]]/12)*3</f>
        <v>0</v>
      </c>
      <c r="V260" s="15"/>
      <c r="W260" s="19"/>
    </row>
    <row r="261" spans="1:23" ht="20.100000000000001" customHeight="1" x14ac:dyDescent="0.3">
      <c r="A261" s="20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203" t="str">
        <f>IF(ISBLANK(Table35[[#This Row],[Paid to Date]]),"",DATE(YEAR(Table35[[#This Row],[Paid to Date]]),MONTH(Table35[[#This Row],[Paid to Date]]),DAY(Table35[[#This Row],[Paid to Date]])+90))</f>
        <v/>
      </c>
      <c r="M261" s="15"/>
      <c r="N261" s="15"/>
      <c r="O261" s="15"/>
      <c r="P261" s="203" t="str">
        <f>IFERROR(DATE(YEAR(Table35[[#This Row],[Lapsed Date]]),MONTH(Table35[[#This Row],[Lapsed Date]]),DAY(Table35[[#This Row],[Lapsed Date]])+20),"")</f>
        <v/>
      </c>
      <c r="Q261" s="203" t="str">
        <f>IFERROR(EDATE(Table35[[#This Row],[Lapsed Date]],12),"")</f>
        <v/>
      </c>
      <c r="R261" s="203" t="str">
        <f>IFERROR(EDATE(Table35[[#This Row],[Lapsed Date]],24),"")</f>
        <v/>
      </c>
      <c r="S261" s="205">
        <f ca="1">DATEDIF(Table35[[#This Row],[Paid to Date]],TODAY(), "M")</f>
        <v>1516</v>
      </c>
      <c r="T261" s="203">
        <f ca="1">Table35[[#This Row],[Number of Monthly premiums missing]]*(Table35[[#This Row],[Lapsed API]]/12)</f>
        <v>0</v>
      </c>
      <c r="U261" s="204">
        <f>(Table35[[#This Row],[Lapsed API]]/12)*3</f>
        <v>0</v>
      </c>
      <c r="V261" s="15"/>
      <c r="W261" s="19"/>
    </row>
    <row r="262" spans="1:23" ht="20.100000000000001" customHeight="1" x14ac:dyDescent="0.3">
      <c r="A262" s="20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203" t="str">
        <f>IF(ISBLANK(Table35[[#This Row],[Paid to Date]]),"",DATE(YEAR(Table35[[#This Row],[Paid to Date]]),MONTH(Table35[[#This Row],[Paid to Date]]),DAY(Table35[[#This Row],[Paid to Date]])+90))</f>
        <v/>
      </c>
      <c r="M262" s="15"/>
      <c r="N262" s="15"/>
      <c r="O262" s="15"/>
      <c r="P262" s="203" t="str">
        <f>IFERROR(DATE(YEAR(Table35[[#This Row],[Lapsed Date]]),MONTH(Table35[[#This Row],[Lapsed Date]]),DAY(Table35[[#This Row],[Lapsed Date]])+20),"")</f>
        <v/>
      </c>
      <c r="Q262" s="203" t="str">
        <f>IFERROR(EDATE(Table35[[#This Row],[Lapsed Date]],12),"")</f>
        <v/>
      </c>
      <c r="R262" s="203" t="str">
        <f>IFERROR(EDATE(Table35[[#This Row],[Lapsed Date]],24),"")</f>
        <v/>
      </c>
      <c r="S262" s="205">
        <f ca="1">DATEDIF(Table35[[#This Row],[Paid to Date]],TODAY(), "M")</f>
        <v>1516</v>
      </c>
      <c r="T262" s="203">
        <f ca="1">Table35[[#This Row],[Number of Monthly premiums missing]]*(Table35[[#This Row],[Lapsed API]]/12)</f>
        <v>0</v>
      </c>
      <c r="U262" s="204">
        <f>(Table35[[#This Row],[Lapsed API]]/12)*3</f>
        <v>0</v>
      </c>
      <c r="V262" s="15"/>
      <c r="W262" s="19"/>
    </row>
  </sheetData>
  <sheetProtection selectLockedCells="1"/>
  <mergeCells count="3">
    <mergeCell ref="E1:R1"/>
    <mergeCell ref="E3:R8"/>
    <mergeCell ref="B11:R11"/>
  </mergeCells>
  <conditionalFormatting sqref="B13:W13 W14 E14:R16 T14:V16 B14:D262 S14:S262">
    <cfRule type="expression" dxfId="5" priority="1">
      <formula>$B13= "Booked"</formula>
    </cfRule>
    <cfRule type="expression" dxfId="4" priority="2">
      <formula>$B13= "No Answer"</formula>
    </cfRule>
    <cfRule type="expression" dxfId="3" priority="3">
      <formula>$B13= "Call Back"</formula>
    </cfRule>
    <cfRule type="expression" dxfId="2" priority="4">
      <formula>$B13= "Not qualified"</formula>
    </cfRule>
    <cfRule type="expression" dxfId="1" priority="5">
      <formula>$B13= "Not Interested"</formula>
    </cfRule>
    <cfRule type="expression" dxfId="0" priority="6">
      <formula>OR($B13= "Cannot Contact",#REF!="5 or more")</formula>
    </cfRule>
  </conditionalFormatting>
  <dataValidations count="9">
    <dataValidation type="list" allowBlank="1" showInputMessage="1" showErrorMessage="1" sqref="B14:D262" xr:uid="{26B184E8-A736-42D1-8E1A-C69955F6D8F8}">
      <formula1>$AB$13:$AB$19</formula1>
    </dataValidation>
    <dataValidation type="list" allowBlank="1" showInputMessage="1" showErrorMessage="1" sqref="L14:P262" xr:uid="{B2D00A62-5A17-41FF-8D41-2705FFC8160E}">
      <formula1>$AC$13:$AC$26</formula1>
    </dataValidation>
    <dataValidation type="list" allowBlank="1" showInputMessage="1" showErrorMessage="1" sqref="C13" xr:uid="{A7798674-A8DA-4789-BBB6-4A061D238FA9}">
      <formula1>$AA$13:$AA$16</formula1>
    </dataValidation>
    <dataValidation type="list" allowBlank="1" showInputMessage="1" showErrorMessage="1" sqref="B13" xr:uid="{B5943B0D-372A-40AE-943F-F101C8154504}">
      <formula1>$AB$13:$AB$20</formula1>
    </dataValidation>
    <dataValidation type="decimal" operator="greaterThan" allowBlank="1" showInputMessage="1" showErrorMessage="1" sqref="D13" xr:uid="{94B94D76-97E5-4680-9CE0-E6A330A17E64}">
      <formula1>1</formula1>
    </dataValidation>
    <dataValidation type="list" allowBlank="1" showInputMessage="1" showErrorMessage="1" sqref="H13" xr:uid="{E38686FD-1ECE-44E1-BFC5-818AC7939914}">
      <formula1>$AC$13:$AC$25</formula1>
    </dataValidation>
    <dataValidation type="list" allowBlank="1" showInputMessage="1" showErrorMessage="1" sqref="I13" xr:uid="{577F7212-0722-4DFA-8C69-8B9E7201E202}">
      <formula1>$AD$13:$AD$20</formula1>
    </dataValidation>
    <dataValidation operator="greaterThan" allowBlank="1" showInputMessage="1" showErrorMessage="1" sqref="L13" xr:uid="{BD2CA22F-FD20-42E4-9D19-34BD4B1DEABA}"/>
    <dataValidation type="list" allowBlank="1" showInputMessage="1" showErrorMessage="1" sqref="M13" xr:uid="{400058E9-5E4F-4AE1-B912-05FA1C8933C7}">
      <formula1>$AE$13:$AE$21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Campaign Tracker</vt:lpstr>
      <vt:lpstr>Opportunity Grid</vt:lpstr>
      <vt:lpstr>Prospect Call List</vt:lpstr>
      <vt:lpstr>Persistency Calculator</vt:lpstr>
      <vt:lpstr>Reinstatment Hit List</vt:lpstr>
      <vt:lpstr>'Opportunity Grid'!Print_Area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Kyron Marchan</dc:creator>
  <cp:keywords/>
  <dc:description/>
  <cp:lastModifiedBy>Kyron Marchan</cp:lastModifiedBy>
  <cp:revision/>
  <dcterms:created xsi:type="dcterms:W3CDTF">2023-07-11T00:45:01Z</dcterms:created>
  <dcterms:modified xsi:type="dcterms:W3CDTF">2026-05-12T19:00:17Z</dcterms:modified>
  <cp:category/>
  <cp:contentStatus/>
</cp:coreProperties>
</file>